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ruc\Downloads\"/>
    </mc:Choice>
  </mc:AlternateContent>
  <xr:revisionPtr revIDLastSave="0" documentId="13_ncr:1_{EA86ACBA-B9D1-4E54-B263-941F35D071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EDIDOS" sheetId="4" r:id="rId1"/>
  </sheets>
  <definedNames>
    <definedName name="_xlnm.Print_Area" localSheetId="0">PEDIDOS!$A$1:$J$134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4" l="1"/>
  <c r="H82" i="4"/>
  <c r="H113" i="4"/>
  <c r="H62" i="4"/>
  <c r="H112" i="4" l="1"/>
  <c r="H114" i="4"/>
  <c r="H44" i="4" l="1"/>
  <c r="H34" i="4"/>
  <c r="H33" i="4"/>
  <c r="H32" i="4"/>
  <c r="H31" i="4"/>
  <c r="H25" i="4"/>
  <c r="G79" i="4" l="1"/>
  <c r="G60" i="4"/>
  <c r="G44" i="4"/>
  <c r="H79" i="4" l="1"/>
  <c r="H60" i="4"/>
  <c r="G33" i="4" l="1"/>
  <c r="G32" i="4"/>
  <c r="G34" i="4"/>
  <c r="G31" i="4"/>
  <c r="N21" i="4" l="1"/>
  <c r="N88" i="4" l="1"/>
  <c r="P88" i="4" l="1"/>
  <c r="N101" i="4" l="1"/>
  <c r="P101" i="4" s="1"/>
  <c r="N90" i="4"/>
  <c r="P90" i="4" s="1"/>
  <c r="N85" i="4"/>
  <c r="P85" i="4" s="1"/>
  <c r="N23" i="4"/>
  <c r="P23" i="4" s="1"/>
  <c r="N86" i="4"/>
  <c r="P86" i="4" s="1"/>
  <c r="N92" i="4"/>
  <c r="P92" i="4" s="1"/>
  <c r="N93" i="4"/>
  <c r="P93" i="4" s="1"/>
  <c r="N94" i="4"/>
  <c r="P94" i="4" s="1"/>
  <c r="N102" i="4"/>
  <c r="P102" i="4" s="1"/>
  <c r="N103" i="4"/>
  <c r="P103" i="4" s="1"/>
  <c r="N104" i="4"/>
  <c r="P104" i="4" s="1"/>
  <c r="N105" i="4"/>
  <c r="P105" i="4" s="1"/>
  <c r="N106" i="4"/>
  <c r="P106" i="4" s="1"/>
  <c r="N107" i="4"/>
  <c r="P107" i="4" s="1"/>
  <c r="N108" i="4"/>
  <c r="P108" i="4" s="1"/>
  <c r="N111" i="4"/>
  <c r="P111" i="4" s="1"/>
  <c r="G118" i="4" l="1"/>
  <c r="H116" i="4"/>
  <c r="H78" i="4" l="1"/>
  <c r="G78" i="4"/>
  <c r="H66" i="4" l="1"/>
  <c r="G66" i="4"/>
  <c r="G109" i="4" l="1"/>
  <c r="H109" i="4"/>
  <c r="H110" i="4"/>
  <c r="G110" i="4"/>
  <c r="G19" i="4" l="1"/>
  <c r="G18" i="4"/>
  <c r="G17" i="4"/>
  <c r="G16" i="4"/>
  <c r="G114" i="4"/>
  <c r="G62" i="4" l="1"/>
  <c r="G95" i="4" l="1"/>
  <c r="G104" i="4" l="1"/>
  <c r="G103" i="4"/>
  <c r="G102" i="4"/>
  <c r="G101" i="4"/>
  <c r="G100" i="4"/>
  <c r="G98" i="4"/>
  <c r="G99" i="4"/>
  <c r="G113" i="4"/>
  <c r="H115" i="4" l="1"/>
  <c r="G124" i="4" l="1"/>
  <c r="G61" i="4" l="1"/>
  <c r="G29" i="4" l="1"/>
  <c r="G28" i="4"/>
  <c r="G112" i="4" l="1"/>
  <c r="G111" i="4" l="1"/>
  <c r="G21" i="4" l="1"/>
  <c r="G87" i="4" l="1"/>
  <c r="G88" i="4"/>
  <c r="G86" i="4"/>
  <c r="G106" i="4" l="1"/>
  <c r="G71" i="4"/>
  <c r="G90" i="4"/>
  <c r="G94" i="4"/>
  <c r="G93" i="4"/>
  <c r="G108" i="4"/>
  <c r="G97" i="4"/>
  <c r="G119" i="4"/>
  <c r="G128" i="4"/>
  <c r="G127" i="4"/>
  <c r="G126" i="4"/>
  <c r="G59" i="4" l="1"/>
  <c r="G57" i="4"/>
  <c r="G53" i="4" l="1"/>
  <c r="G52" i="4"/>
  <c r="G51" i="4"/>
  <c r="G49" i="4"/>
  <c r="G48" i="4"/>
  <c r="G47" i="4"/>
  <c r="G46" i="4"/>
  <c r="G43" i="4" l="1"/>
  <c r="G42" i="4"/>
  <c r="G41" i="4"/>
  <c r="G40" i="4"/>
  <c r="G39" i="4"/>
  <c r="G75" i="4" l="1"/>
  <c r="G74" i="4"/>
  <c r="G73" i="4"/>
  <c r="G72" i="4"/>
  <c r="G27" i="4" l="1"/>
  <c r="G85" i="4" l="1"/>
  <c r="G125" i="4" l="1"/>
  <c r="G123" i="4" l="1"/>
  <c r="G122" i="4"/>
  <c r="G121" i="4"/>
  <c r="G107" i="4" l="1"/>
  <c r="G22" i="4" l="1"/>
  <c r="G92" i="4" l="1"/>
  <c r="G63" i="4" l="1"/>
  <c r="G105" i="4" l="1"/>
  <c r="G89" i="4"/>
  <c r="G84" i="4"/>
  <c r="G82" i="4"/>
  <c r="G81" i="4"/>
  <c r="G76" i="4"/>
  <c r="G69" i="4"/>
  <c r="G67" i="4"/>
  <c r="G65" i="4"/>
  <c r="G58" i="4"/>
  <c r="G37" i="4"/>
  <c r="G38" i="4"/>
  <c r="G55" i="4"/>
  <c r="G36" i="4"/>
  <c r="G25" i="4"/>
  <c r="G26" i="4"/>
  <c r="G23" i="4"/>
  <c r="G4" i="4" l="1"/>
  <c r="H19" i="4" l="1"/>
  <c r="H17" i="4"/>
  <c r="H16" i="4"/>
  <c r="H18" i="4" l="1"/>
  <c r="H21" i="4" l="1"/>
  <c r="H95" i="4" l="1"/>
  <c r="H49" i="4" l="1"/>
  <c r="H89" i="4"/>
  <c r="H58" i="4"/>
  <c r="H92" i="4"/>
  <c r="H70" i="4"/>
  <c r="H51" i="4"/>
  <c r="H41" i="4"/>
  <c r="H99" i="4"/>
  <c r="H87" i="4"/>
  <c r="H100" i="4"/>
  <c r="H118" i="4"/>
  <c r="H69" i="4"/>
  <c r="H39" i="4"/>
  <c r="H124" i="4"/>
  <c r="H52" i="4"/>
  <c r="H68" i="4"/>
  <c r="H88" i="4"/>
  <c r="H106" i="4"/>
  <c r="H107" i="4"/>
  <c r="H81" i="4"/>
  <c r="H93" i="4"/>
  <c r="H72" i="4"/>
  <c r="H29" i="4"/>
  <c r="H36" i="4"/>
  <c r="H74" i="4"/>
  <c r="H103" i="4"/>
  <c r="H125" i="4"/>
  <c r="H73" i="4"/>
  <c r="H43" i="4"/>
  <c r="H59" i="4"/>
  <c r="H46" i="4"/>
  <c r="H48" i="4"/>
  <c r="H128" i="4"/>
  <c r="H108" i="4"/>
  <c r="H97" i="4"/>
  <c r="H94" i="4"/>
  <c r="H86" i="4"/>
  <c r="H67" i="4"/>
  <c r="H101" i="4"/>
  <c r="H42" i="4"/>
  <c r="H61" i="4"/>
  <c r="H63" i="4"/>
  <c r="H121" i="4"/>
  <c r="H122" i="4"/>
  <c r="H90" i="4"/>
  <c r="H85" i="4"/>
  <c r="H55" i="4"/>
  <c r="H57" i="4"/>
  <c r="H102" i="4"/>
  <c r="H23" i="4"/>
  <c r="H123" i="4"/>
  <c r="H53" i="4"/>
  <c r="H105" i="4"/>
  <c r="H104" i="4"/>
  <c r="H127" i="4"/>
  <c r="H26" i="4"/>
  <c r="H37" i="4"/>
  <c r="H38" i="4"/>
  <c r="H119" i="4"/>
  <c r="H27" i="4"/>
  <c r="H126" i="4"/>
  <c r="H65" i="4"/>
  <c r="H75" i="4"/>
  <c r="H84" i="4"/>
  <c r="H76" i="4"/>
  <c r="H71" i="4"/>
  <c r="H47" i="4"/>
  <c r="H40" i="4"/>
  <c r="H28" i="4"/>
  <c r="H98" i="4"/>
  <c r="N22" i="4"/>
  <c r="P22" i="4" l="1"/>
  <c r="H22" i="4"/>
  <c r="G9" i="4" s="1"/>
</calcChain>
</file>

<file path=xl/sharedStrings.xml><?xml version="1.0" encoding="utf-8"?>
<sst xmlns="http://schemas.openxmlformats.org/spreadsheetml/2006/main" count="241" uniqueCount="144">
  <si>
    <t>Formato de Pedidos</t>
  </si>
  <si>
    <r>
      <t xml:space="preserve">Estimado Cliente </t>
    </r>
    <r>
      <rPr>
        <b/>
        <sz val="11"/>
        <color rgb="FF00B050"/>
        <rFont val="Century Gothic"/>
        <family val="2"/>
      </rPr>
      <t>Agromas®</t>
    </r>
    <r>
      <rPr>
        <sz val="11"/>
        <color theme="1"/>
        <rFont val="Century Gothic"/>
        <family val="2"/>
      </rPr>
      <t xml:space="preserve">, estamos a sus órdenes para tomar sus pedidos. 
</t>
    </r>
    <r>
      <rPr>
        <b/>
        <sz val="11"/>
        <color theme="1"/>
        <rFont val="Century Gothic"/>
        <family val="2"/>
      </rPr>
      <t>Correos electrónicos de atención:</t>
    </r>
    <r>
      <rPr>
        <sz val="11"/>
        <color theme="1"/>
        <rFont val="Century Gothic"/>
        <family val="2"/>
      </rPr>
      <t xml:space="preserve"> </t>
    </r>
    <r>
      <rPr>
        <sz val="11"/>
        <rFont val="Century Gothic"/>
        <family val="2"/>
      </rPr>
      <t>pedidosagromas@gruma.com</t>
    </r>
    <r>
      <rPr>
        <sz val="11"/>
        <color theme="1"/>
        <rFont val="Century Gothic"/>
        <family val="2"/>
      </rPr>
      <t xml:space="preserve">
</t>
    </r>
    <r>
      <rPr>
        <b/>
        <sz val="11"/>
        <color theme="1"/>
        <rFont val="Century Gothic"/>
        <family val="2"/>
      </rPr>
      <t>Atención telefónica:</t>
    </r>
    <r>
      <rPr>
        <sz val="11"/>
        <color theme="1"/>
        <rFont val="Century Gothic"/>
        <family val="2"/>
      </rPr>
      <t xml:space="preserve"> 01 (241) 413 1803
¡Gracias por preferirnos!</t>
    </r>
  </si>
  <si>
    <t>Planta</t>
  </si>
  <si>
    <t>TLAXCALA</t>
  </si>
  <si>
    <t>TOTAL PEDIDO/TON</t>
  </si>
  <si>
    <t>No. Cliente</t>
  </si>
  <si>
    <t>Nombre Cliente</t>
  </si>
  <si>
    <t>Fecha de pedido (mm/dd/aaaa)</t>
  </si>
  <si>
    <t>Fecha solicitada de entrega (mm/dd/aaaa)</t>
  </si>
  <si>
    <t>TOTAL A PAGAR</t>
  </si>
  <si>
    <t>DESCUENTO DE CLIENTE</t>
  </si>
  <si>
    <t>DESCUENTO POR PAGO DE CONTADO</t>
  </si>
  <si>
    <t>CÓDIGO DEL PRODUCTO</t>
  </si>
  <si>
    <t>PRODUCTO</t>
  </si>
  <si>
    <t>TIPO DE PARTICULA</t>
  </si>
  <si>
    <t>PRESENTACIÓN 
(KG)</t>
  </si>
  <si>
    <t>PRECIO DE 
LISTA</t>
  </si>
  <si>
    <t>UNIDADES 
(SACOS)</t>
  </si>
  <si>
    <t>TOTAL 
(Ton)</t>
  </si>
  <si>
    <t>AVES DE POSTURA</t>
  </si>
  <si>
    <t>SUPER YEMA INICIO</t>
  </si>
  <si>
    <t>MIGAJA</t>
  </si>
  <si>
    <t>POLLAS DESARROLLO</t>
  </si>
  <si>
    <t>PONEDORA SUPER YEMA</t>
  </si>
  <si>
    <t>POLLO DE ENGORDA</t>
  </si>
  <si>
    <t>POLLO INICIO</t>
  </si>
  <si>
    <t>POLLO ENGORDA CP</t>
  </si>
  <si>
    <t>AVIMAS SP</t>
  </si>
  <si>
    <t>AVIMAS UNO</t>
  </si>
  <si>
    <t>AGROMIX MIGAJA CC</t>
  </si>
  <si>
    <t>CERDOS LINEA SUPREMA</t>
  </si>
  <si>
    <t>CERDO SUPREMA GESTACIÓN</t>
  </si>
  <si>
    <t>PELLET</t>
  </si>
  <si>
    <t>CERDO SUPREMA LACTANCIA</t>
  </si>
  <si>
    <t>CERDO SUPREMA FASE 4</t>
  </si>
  <si>
    <t>CERDO SUPREMA INICIO</t>
  </si>
  <si>
    <t>CERDO SUPREMA CRECIMIENTO</t>
  </si>
  <si>
    <t>CERDO SUPREMA DESARROLLO</t>
  </si>
  <si>
    <t>CERDO SUPREMA ENGORDA</t>
  </si>
  <si>
    <t>CERDO SUPREMA FINALIZADOR</t>
  </si>
  <si>
    <t>CERDOS LINEA OPTIMA</t>
  </si>
  <si>
    <t>CERDO OPTIMA GESTACIÓN</t>
  </si>
  <si>
    <t>CERDO OPTIMA LACTANCIA</t>
  </si>
  <si>
    <t>CERDO OPTIMA CRECIMIENTO</t>
  </si>
  <si>
    <t>CERDO OPTIMA ENGORDA</t>
  </si>
  <si>
    <t>CERDOS LINEA ESENCIAL</t>
  </si>
  <si>
    <t>CERDO ESENCIAL INICIO</t>
  </si>
  <si>
    <t>CERDO ESENCIAL CRECIMIENTO</t>
  </si>
  <si>
    <t>CERDO ESENCIAL ENGORDA</t>
  </si>
  <si>
    <t xml:space="preserve">CERDOS </t>
  </si>
  <si>
    <t>PORCIMAS</t>
  </si>
  <si>
    <t>GANADO LECHERO</t>
  </si>
  <si>
    <t>BOVIMAS LECHERO ESENCIAL 18%</t>
  </si>
  <si>
    <t>MULTIPARTICULA</t>
  </si>
  <si>
    <t>BOVINO LECHERO OPTIMA 18%</t>
  </si>
  <si>
    <t>BOVIMAS LECHERO 13% MP</t>
  </si>
  <si>
    <t>HARINA</t>
  </si>
  <si>
    <t>RENDIMAS LECHERO 18% ORDEÑA ESENCIAL HNA</t>
  </si>
  <si>
    <t>SUSTITUTO DE LECHE 10 KGS</t>
  </si>
  <si>
    <t>GANADO DE ENGORDA</t>
  </si>
  <si>
    <t>AGROMIX</t>
  </si>
  <si>
    <t>AGROBASE 7%</t>
  </si>
  <si>
    <t>Agostadero</t>
  </si>
  <si>
    <t>AGROBASE 7% GRANEL</t>
  </si>
  <si>
    <t>GRANEL</t>
  </si>
  <si>
    <t>N/A</t>
  </si>
  <si>
    <t xml:space="preserve"> AGROBASE CM 7%</t>
  </si>
  <si>
    <t xml:space="preserve"> AGROBASE CM 7% GRANEL</t>
  </si>
  <si>
    <t>AGROBASE CM 9%</t>
  </si>
  <si>
    <t>BECERRO INICIO</t>
  </si>
  <si>
    <t>BOVINO GENETICA (DESARROLLO)</t>
  </si>
  <si>
    <t>BOVIMAS ENGORDA ÓPTIMA 12 MP</t>
  </si>
  <si>
    <t>BOVIMAS ENGORDA OPTIMA 15%</t>
  </si>
  <si>
    <t>BOVIMAS ENGORDA OPTIMA 15% MP</t>
  </si>
  <si>
    <t>BORREGOS</t>
  </si>
  <si>
    <t>BORREGO INICIO</t>
  </si>
  <si>
    <t>BORREGO ENGORDA</t>
  </si>
  <si>
    <t>EQUINOS</t>
  </si>
  <si>
    <t>ESPUELA DE ORO MP</t>
  </si>
  <si>
    <t>EQUINO 12 MP</t>
  </si>
  <si>
    <t>EQUINO 14 PLUS MP</t>
  </si>
  <si>
    <t>ESPUELA DE ORO</t>
  </si>
  <si>
    <t>EQUINO 12</t>
  </si>
  <si>
    <t>EQUINO 14</t>
  </si>
  <si>
    <t>EQUINO ROJO</t>
  </si>
  <si>
    <t>CONEJOS</t>
  </si>
  <si>
    <t>CONEMAS®</t>
  </si>
  <si>
    <t>CONEMAS PLUS CC</t>
  </si>
  <si>
    <t>CONEMAS PLUS AB</t>
  </si>
  <si>
    <t>CONEMAS AB REPRODUCTORAS AV</t>
  </si>
  <si>
    <t>GALLOS</t>
  </si>
  <si>
    <t>INVENCIBLE 26 INICIO</t>
  </si>
  <si>
    <t>INVENCIBLE 15 REPRODUCTORES</t>
  </si>
  <si>
    <t>INVENCIBLE COMPLEMENTO 10%</t>
  </si>
  <si>
    <t>INVENCIBLE COMPLEMENTO 10% ROJO</t>
  </si>
  <si>
    <t>INVENCIBLE COMPLEMENTO 10% VERDE</t>
  </si>
  <si>
    <t>INVENCIBLE COMPLEMENTO 10% TRICOLOR</t>
  </si>
  <si>
    <t>INVENCIBLE 18 CRECIMIENTO TRICOLOR</t>
  </si>
  <si>
    <t>INVENCIBLE 18 CRECIMIENTO</t>
  </si>
  <si>
    <t>INVENCIBLE 18 CRECIMIENTO VERDE</t>
  </si>
  <si>
    <t>INVENCIBLE 18 CRECIMIENTO ROJO</t>
  </si>
  <si>
    <t>GALLO REGIO</t>
  </si>
  <si>
    <t>GALLO REGIO - 5 KGS</t>
  </si>
  <si>
    <t>GALLO TEMERARIO</t>
  </si>
  <si>
    <t>CAJA TRANSPORTE (PRECIO C/ IVA)</t>
  </si>
  <si>
    <t>CARTON</t>
  </si>
  <si>
    <t>CAJA DESCANSO (PRECIO C/ IVA)</t>
  </si>
  <si>
    <t>PAVOS</t>
  </si>
  <si>
    <t xml:space="preserve">MI PATIO® </t>
  </si>
  <si>
    <t>CONEMAS® 5 kgs</t>
  </si>
  <si>
    <t>POLLO ENGORDA CP 5 KGS</t>
  </si>
  <si>
    <t>POLLO INICIO 5 KGS</t>
  </si>
  <si>
    <t>SUPER YEMA INICIO 5 KGS</t>
  </si>
  <si>
    <t>PONEDORA SUPER YEMA 5 KGS</t>
  </si>
  <si>
    <t>CERDOS CRECIMIENTO - 5 KGS</t>
  </si>
  <si>
    <t>CERDOS ENGORDA - 5 KGS</t>
  </si>
  <si>
    <t>PAVO INICIO - 5 KGS</t>
  </si>
  <si>
    <t>Notas:</t>
  </si>
  <si>
    <t>Para descuento de pago de contado comunicarse primero con el departamento de créditos Agromas® para confirmar si aplica en su caso.</t>
  </si>
  <si>
    <t xml:space="preserve">Productos marcados en Rojo no aplica su descuento de cliente ni de contado, pregunte por descuento por volumén de compra. </t>
  </si>
  <si>
    <t>Productos marcados en Azul sólo aplica descuento en pago de contado.</t>
  </si>
  <si>
    <t>GALLINA ESENCIAL</t>
  </si>
  <si>
    <t>MAS CARNE 12% ESENCIAL</t>
  </si>
  <si>
    <t>BORREGO ESENCIAL</t>
  </si>
  <si>
    <t>GALLO ESENCIAL</t>
  </si>
  <si>
    <t>GALLO TEMERARIO 5 kg</t>
  </si>
  <si>
    <t>LINEA ESENCIAL</t>
  </si>
  <si>
    <t>MAS PLUMAJE 25 KG</t>
  </si>
  <si>
    <t>MAS PLUMAJE 5 KG</t>
  </si>
  <si>
    <t>AGOSTADERO CM</t>
  </si>
  <si>
    <t xml:space="preserve">CONCENTRADOS </t>
  </si>
  <si>
    <t>CONCENTRADO C32</t>
  </si>
  <si>
    <t>PAVO INICIO 25 KG</t>
  </si>
  <si>
    <t>PAVO ENGORDA 25 KG</t>
  </si>
  <si>
    <t>PREINICIADORES DE CERDO</t>
  </si>
  <si>
    <t>MAS LECHON FASE 0</t>
  </si>
  <si>
    <t>MAS LECHON FASE 1</t>
  </si>
  <si>
    <t>MAS LECHON FASE 2</t>
  </si>
  <si>
    <t>MAS LECHON FASE 3</t>
  </si>
  <si>
    <t>CERDO SUPREMA FINALIZADOR R-10 PPM</t>
  </si>
  <si>
    <t>BOVIMAS LECHERO SUPREMA 20</t>
  </si>
  <si>
    <t>CONCENTRADO L32</t>
  </si>
  <si>
    <t>Alejandro Polvo Cuatianquiz</t>
  </si>
  <si>
    <t>06/30/2026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</si>
</sst>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XDR&quot;* #,##0.00_-;\-&quot;XDR&quot;* #,##0.00_-;_-&quot;XDR&quot;* &quot;-&quot;??_-;_-@_-"/>
    <numFmt numFmtId="165" formatCode="&quot;$&quot;#,##0.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1"/>
      <color rgb="FF00B050"/>
      <name val="Century Gothic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4"/>
      <color indexed="13"/>
      <name val="Calibri"/>
      <family val="2"/>
    </font>
    <font>
      <b/>
      <sz val="13"/>
      <name val="Calibri"/>
      <family val="2"/>
    </font>
    <font>
      <sz val="11"/>
      <color indexed="8"/>
      <name val="Calibri"/>
      <family val="2"/>
    </font>
    <font>
      <sz val="13"/>
      <name val="Calibri"/>
      <family val="2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entury Gothic"/>
      <family val="2"/>
    </font>
    <font>
      <sz val="12"/>
      <color rgb="FF22222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17"/>
      </patternFill>
    </fill>
    <fill>
      <patternFill patternType="solid">
        <fgColor theme="2"/>
        <bgColor indexed="17"/>
      </patternFill>
    </fill>
    <fill>
      <patternFill patternType="solid">
        <fgColor theme="2" tint="0.39997558519241921"/>
        <bgColor indexed="17"/>
      </patternFill>
    </fill>
    <fill>
      <patternFill patternType="solid">
        <fgColor rgb="FFFFC000"/>
        <bgColor indexed="17"/>
      </patternFill>
    </fill>
    <fill>
      <patternFill patternType="solid">
        <fgColor rgb="FFFF0000"/>
        <bgColor indexed="17"/>
      </patternFill>
    </fill>
    <fill>
      <patternFill patternType="solid">
        <fgColor rgb="FF00B050"/>
        <bgColor indexed="17"/>
      </patternFill>
    </fill>
    <fill>
      <patternFill patternType="solid">
        <fgColor theme="4" tint="-0.499984740745262"/>
        <bgColor indexed="17"/>
      </patternFill>
    </fill>
    <fill>
      <patternFill patternType="solid">
        <fgColor rgb="FFC00000"/>
        <bgColor indexed="17"/>
      </patternFill>
    </fill>
    <fill>
      <patternFill patternType="solid">
        <fgColor theme="8"/>
        <bgColor indexed="17"/>
      </patternFill>
    </fill>
    <fill>
      <patternFill patternType="solid">
        <fgColor rgb="FF00B050"/>
        <bgColor indexed="53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17"/>
      </patternFill>
    </fill>
    <fill>
      <patternFill patternType="solid">
        <fgColor rgb="FF0070C0"/>
        <bgColor indexed="17"/>
      </patternFill>
    </fill>
    <fill>
      <patternFill patternType="solid">
        <fgColor theme="3" tint="0.39997558519241921"/>
        <bgColor indexed="17"/>
      </patternFill>
    </fill>
    <fill>
      <patternFill patternType="solid">
        <fgColor rgb="FF333595"/>
        <bgColor indexed="17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0" fillId="0" borderId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86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2" borderId="7" xfId="0" applyFont="1" applyFill="1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1" fillId="2" borderId="8" xfId="0" applyFont="1" applyFill="1" applyBorder="1" applyAlignment="1">
      <alignment horizontal="left"/>
    </xf>
    <xf numFmtId="49" fontId="3" fillId="0" borderId="0" xfId="0" applyNumberFormat="1" applyFont="1" applyAlignment="1">
      <alignment horizontal="center"/>
    </xf>
    <xf numFmtId="0" fontId="9" fillId="0" borderId="25" xfId="0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6" fillId="0" borderId="0" xfId="0" applyFont="1"/>
    <xf numFmtId="0" fontId="9" fillId="0" borderId="27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13" borderId="23" xfId="0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 wrapText="1"/>
    </xf>
    <xf numFmtId="0" fontId="7" fillId="13" borderId="24" xfId="0" applyFont="1" applyFill="1" applyBorder="1" applyAlignment="1">
      <alignment horizontal="center" vertical="center" wrapText="1"/>
    </xf>
    <xf numFmtId="0" fontId="11" fillId="15" borderId="20" xfId="1" applyFont="1" applyFill="1" applyBorder="1" applyAlignment="1">
      <alignment horizontal="center" vertical="center"/>
    </xf>
    <xf numFmtId="0" fontId="11" fillId="4" borderId="20" xfId="1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 wrapText="1"/>
    </xf>
    <xf numFmtId="0" fontId="7" fillId="12" borderId="24" xfId="0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11" fillId="0" borderId="17" xfId="1" applyFont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 wrapText="1"/>
    </xf>
    <xf numFmtId="0" fontId="7" fillId="10" borderId="24" xfId="0" applyFont="1" applyFill="1" applyBorder="1" applyAlignment="1">
      <alignment horizontal="center" vertical="center" wrapText="1"/>
    </xf>
    <xf numFmtId="0" fontId="11" fillId="0" borderId="30" xfId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15" fillId="0" borderId="5" xfId="0" applyFont="1" applyBorder="1"/>
    <xf numFmtId="0" fontId="0" fillId="0" borderId="12" xfId="0" applyBorder="1"/>
    <xf numFmtId="0" fontId="0" fillId="0" borderId="13" xfId="0" applyBorder="1"/>
    <xf numFmtId="165" fontId="0" fillId="0" borderId="20" xfId="3" applyNumberFormat="1" applyFont="1" applyBorder="1" applyAlignment="1" applyProtection="1">
      <alignment horizontal="center" vertical="top"/>
    </xf>
    <xf numFmtId="0" fontId="7" fillId="14" borderId="2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8" fillId="0" borderId="0" xfId="0" applyFont="1"/>
    <xf numFmtId="0" fontId="2" fillId="0" borderId="1" xfId="0" applyFont="1" applyBorder="1" applyAlignment="1">
      <alignment horizontal="center"/>
    </xf>
    <xf numFmtId="0" fontId="15" fillId="16" borderId="1" xfId="0" applyFont="1" applyFill="1" applyBorder="1" applyAlignment="1" applyProtection="1">
      <alignment horizontal="center"/>
      <protection locked="0"/>
    </xf>
    <xf numFmtId="0" fontId="3" fillId="16" borderId="1" xfId="0" applyFont="1" applyFill="1" applyBorder="1" applyAlignment="1" applyProtection="1">
      <alignment horizontal="center"/>
      <protection locked="0"/>
    </xf>
    <xf numFmtId="14" fontId="2" fillId="16" borderId="1" xfId="0" applyNumberFormat="1" applyFont="1" applyFill="1" applyBorder="1" applyAlignment="1" applyProtection="1">
      <alignment horizontal="center"/>
      <protection locked="0"/>
    </xf>
    <xf numFmtId="14" fontId="3" fillId="16" borderId="1" xfId="0" applyNumberFormat="1" applyFont="1" applyFill="1" applyBorder="1" applyAlignment="1" applyProtection="1">
      <alignment horizontal="center"/>
      <protection locked="0"/>
    </xf>
    <xf numFmtId="0" fontId="15" fillId="16" borderId="20" xfId="0" applyFont="1" applyFill="1" applyBorder="1" applyAlignment="1" applyProtection="1">
      <alignment horizontal="center"/>
      <protection locked="0"/>
    </xf>
    <xf numFmtId="0" fontId="15" fillId="16" borderId="17" xfId="0" applyFont="1" applyFill="1" applyBorder="1" applyAlignment="1" applyProtection="1">
      <alignment horizontal="center"/>
      <protection locked="0"/>
    </xf>
    <xf numFmtId="0" fontId="15" fillId="16" borderId="19" xfId="0" applyFont="1" applyFill="1" applyBorder="1" applyAlignment="1" applyProtection="1">
      <alignment horizontal="center"/>
      <protection locked="0"/>
    </xf>
    <xf numFmtId="0" fontId="15" fillId="16" borderId="9" xfId="0" applyFont="1" applyFill="1" applyBorder="1" applyAlignment="1" applyProtection="1">
      <alignment horizontal="center"/>
      <protection locked="0"/>
    </xf>
    <xf numFmtId="0" fontId="15" fillId="16" borderId="30" xfId="0" applyFont="1" applyFill="1" applyBorder="1" applyAlignment="1" applyProtection="1">
      <alignment horizontal="center"/>
      <protection locked="0"/>
    </xf>
    <xf numFmtId="0" fontId="15" fillId="16" borderId="35" xfId="0" applyFont="1" applyFill="1" applyBorder="1" applyAlignment="1" applyProtection="1">
      <alignment horizontal="center"/>
      <protection locked="0"/>
    </xf>
    <xf numFmtId="9" fontId="0" fillId="16" borderId="1" xfId="0" applyNumberFormat="1" applyFill="1" applyBorder="1" applyAlignment="1" applyProtection="1">
      <alignment horizontal="center"/>
      <protection locked="0"/>
    </xf>
    <xf numFmtId="0" fontId="16" fillId="17" borderId="0" xfId="0" applyFont="1" applyFill="1"/>
    <xf numFmtId="0" fontId="4" fillId="0" borderId="3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 wrapText="1"/>
    </xf>
    <xf numFmtId="0" fontId="18" fillId="0" borderId="12" xfId="0" applyFont="1" applyBorder="1"/>
    <xf numFmtId="0" fontId="7" fillId="18" borderId="2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 wrapText="1"/>
    </xf>
    <xf numFmtId="0" fontId="7" fillId="18" borderId="24" xfId="0" applyFont="1" applyFill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 wrapText="1"/>
    </xf>
    <xf numFmtId="0" fontId="7" fillId="20" borderId="24" xfId="0" applyFont="1" applyFill="1" applyBorder="1" applyAlignment="1">
      <alignment horizontal="center" vertical="center" wrapText="1"/>
    </xf>
    <xf numFmtId="0" fontId="7" fillId="20" borderId="31" xfId="0" applyFont="1" applyFill="1" applyBorder="1" applyAlignment="1">
      <alignment horizontal="center" vertical="center" wrapText="1"/>
    </xf>
    <xf numFmtId="0" fontId="15" fillId="16" borderId="37" xfId="0" applyFont="1" applyFill="1" applyBorder="1" applyAlignment="1" applyProtection="1">
      <alignment horizontal="center"/>
      <protection locked="0"/>
    </xf>
    <xf numFmtId="0" fontId="7" fillId="10" borderId="38" xfId="0" applyFont="1" applyFill="1" applyBorder="1" applyAlignment="1">
      <alignment horizontal="center" vertical="center" wrapText="1"/>
    </xf>
    <xf numFmtId="0" fontId="8" fillId="9" borderId="38" xfId="0" applyFont="1" applyFill="1" applyBorder="1" applyAlignment="1">
      <alignment horizontal="center" vertical="center"/>
    </xf>
    <xf numFmtId="0" fontId="8" fillId="9" borderId="38" xfId="0" applyFont="1" applyFill="1" applyBorder="1" applyAlignment="1">
      <alignment horizontal="center" vertical="center" wrapText="1"/>
    </xf>
    <xf numFmtId="0" fontId="6" fillId="7" borderId="38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 wrapText="1"/>
    </xf>
    <xf numFmtId="0" fontId="6" fillId="19" borderId="38" xfId="0" applyFont="1" applyFill="1" applyBorder="1" applyAlignment="1">
      <alignment horizontal="center" vertical="center"/>
    </xf>
    <xf numFmtId="0" fontId="6" fillId="19" borderId="38" xfId="0" applyFont="1" applyFill="1" applyBorder="1" applyAlignment="1">
      <alignment horizontal="center" vertical="center" wrapText="1"/>
    </xf>
    <xf numFmtId="0" fontId="11" fillId="15" borderId="19" xfId="1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 wrapText="1"/>
    </xf>
    <xf numFmtId="0" fontId="7" fillId="5" borderId="33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165" fontId="0" fillId="0" borderId="0" xfId="0" applyNumberFormat="1"/>
    <xf numFmtId="0" fontId="12" fillId="3" borderId="0" xfId="0" applyFont="1" applyFill="1" applyAlignment="1">
      <alignment horizontal="center" vertical="center"/>
    </xf>
    <xf numFmtId="0" fontId="0" fillId="0" borderId="19" xfId="0" applyBorder="1" applyAlignment="1">
      <alignment horizontal="center"/>
    </xf>
    <xf numFmtId="0" fontId="7" fillId="11" borderId="39" xfId="0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center" vertical="center" wrapText="1"/>
    </xf>
    <xf numFmtId="0" fontId="8" fillId="9" borderId="39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6" fillId="19" borderId="39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5" fillId="16" borderId="11" xfId="0" applyFont="1" applyFill="1" applyBorder="1" applyAlignment="1" applyProtection="1">
      <alignment horizontal="center"/>
      <protection locked="0"/>
    </xf>
    <xf numFmtId="0" fontId="15" fillId="0" borderId="36" xfId="0" applyFont="1" applyBorder="1"/>
    <xf numFmtId="43" fontId="0" fillId="0" borderId="0" xfId="4" applyFont="1"/>
    <xf numFmtId="44" fontId="0" fillId="0" borderId="0" xfId="3" applyFont="1"/>
    <xf numFmtId="44" fontId="0" fillId="0" borderId="0" xfId="0" applyNumberFormat="1"/>
    <xf numFmtId="0" fontId="7" fillId="7" borderId="23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/>
    </xf>
    <xf numFmtId="0" fontId="6" fillId="6" borderId="15" xfId="0" applyFont="1" applyFill="1" applyBorder="1" applyAlignment="1">
      <alignment vertical="center"/>
    </xf>
    <xf numFmtId="0" fontId="7" fillId="21" borderId="41" xfId="0" applyFont="1" applyFill="1" applyBorder="1" applyAlignment="1">
      <alignment horizontal="center" vertical="center"/>
    </xf>
    <xf numFmtId="0" fontId="7" fillId="21" borderId="42" xfId="0" applyFont="1" applyFill="1" applyBorder="1" applyAlignment="1">
      <alignment horizontal="center" vertical="center"/>
    </xf>
    <xf numFmtId="0" fontId="7" fillId="21" borderId="41" xfId="0" applyFont="1" applyFill="1" applyBorder="1" applyAlignment="1">
      <alignment horizontal="center" vertical="center" wrapText="1"/>
    </xf>
    <xf numFmtId="0" fontId="7" fillId="21" borderId="43" xfId="0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0" fillId="0" borderId="0" xfId="0" applyNumberFormat="1"/>
    <xf numFmtId="0" fontId="9" fillId="0" borderId="44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165" fontId="0" fillId="0" borderId="35" xfId="3" applyNumberFormat="1" applyFont="1" applyBorder="1" applyAlignment="1" applyProtection="1">
      <alignment horizontal="center" vertical="top"/>
    </xf>
    <xf numFmtId="0" fontId="15" fillId="16" borderId="33" xfId="0" applyFont="1" applyFill="1" applyBorder="1" applyAlignment="1" applyProtection="1">
      <alignment horizontal="center"/>
      <protection locked="0"/>
    </xf>
    <xf numFmtId="0" fontId="0" fillId="0" borderId="34" xfId="0" applyBorder="1" applyAlignment="1">
      <alignment horizontal="center"/>
    </xf>
    <xf numFmtId="0" fontId="7" fillId="11" borderId="38" xfId="0" applyFont="1" applyFill="1" applyBorder="1" applyAlignment="1">
      <alignment horizontal="center" vertical="center"/>
    </xf>
    <xf numFmtId="0" fontId="7" fillId="20" borderId="26" xfId="0" applyFont="1" applyFill="1" applyBorder="1" applyAlignment="1">
      <alignment horizontal="center" vertical="center"/>
    </xf>
    <xf numFmtId="0" fontId="7" fillId="18" borderId="26" xfId="0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10" borderId="38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13" borderId="26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5" fillId="16" borderId="46" xfId="0" applyFont="1" applyFill="1" applyBorder="1" applyAlignment="1" applyProtection="1">
      <alignment horizontal="center"/>
      <protection locked="0"/>
    </xf>
    <xf numFmtId="0" fontId="7" fillId="7" borderId="24" xfId="0" applyFont="1" applyFill="1" applyBorder="1" applyAlignment="1">
      <alignment horizontal="center" vertical="center" wrapText="1"/>
    </xf>
    <xf numFmtId="0" fontId="11" fillId="15" borderId="1" xfId="1" applyFont="1" applyFill="1" applyBorder="1" applyAlignment="1">
      <alignment horizontal="center" vertical="center"/>
    </xf>
    <xf numFmtId="11" fontId="0" fillId="0" borderId="0" xfId="0" applyNumberFormat="1"/>
    <xf numFmtId="0" fontId="20" fillId="16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7" fillId="6" borderId="1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7" fillId="20" borderId="14" xfId="0" applyFont="1" applyFill="1" applyBorder="1" applyAlignment="1">
      <alignment horizontal="center" vertical="center"/>
    </xf>
    <xf numFmtId="0" fontId="7" fillId="20" borderId="26" xfId="0" applyFont="1" applyFill="1" applyBorder="1" applyAlignment="1">
      <alignment horizontal="center" vertical="center"/>
    </xf>
    <xf numFmtId="0" fontId="7" fillId="13" borderId="14" xfId="0" applyFont="1" applyFill="1" applyBorder="1" applyAlignment="1">
      <alignment horizontal="center" vertical="center"/>
    </xf>
    <xf numFmtId="0" fontId="7" fillId="13" borderId="26" xfId="0" applyFont="1" applyFill="1" applyBorder="1" applyAlignment="1">
      <alignment horizontal="center" vertical="center"/>
    </xf>
    <xf numFmtId="0" fontId="7" fillId="19" borderId="7" xfId="0" applyFont="1" applyFill="1" applyBorder="1" applyAlignment="1">
      <alignment horizontal="center" vertical="center"/>
    </xf>
    <xf numFmtId="0" fontId="7" fillId="19" borderId="38" xfId="0" applyFont="1" applyFill="1" applyBorder="1" applyAlignment="1">
      <alignment horizontal="center" vertical="center"/>
    </xf>
    <xf numFmtId="44" fontId="17" fillId="2" borderId="4" xfId="3" applyFont="1" applyFill="1" applyBorder="1" applyAlignment="1" applyProtection="1">
      <alignment horizontal="center" vertical="center"/>
    </xf>
    <xf numFmtId="44" fontId="17" fillId="2" borderId="6" xfId="3" applyFont="1" applyFill="1" applyBorder="1" applyAlignment="1" applyProtection="1">
      <alignment horizontal="center" vertical="center"/>
    </xf>
    <xf numFmtId="44" fontId="17" fillId="2" borderId="13" xfId="3" applyFont="1" applyFill="1" applyBorder="1" applyAlignment="1" applyProtection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7" fillId="18" borderId="26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3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21" borderId="5" xfId="0" applyFont="1" applyFill="1" applyBorder="1" applyAlignment="1">
      <alignment horizontal="center" vertical="center"/>
    </xf>
    <xf numFmtId="0" fontId="7" fillId="21" borderId="0" xfId="0" applyFont="1" applyFill="1" applyAlignment="1">
      <alignment horizontal="center" vertical="center"/>
    </xf>
  </cellXfs>
  <cellStyles count="5">
    <cellStyle name="Currency 2" xfId="2" xr:uid="{00000000-0005-0000-0000-000002000000}"/>
    <cellStyle name="Excel Built-in Normal" xfId="1" xr:uid="{00000000-0005-0000-0000-000003000000}"/>
    <cellStyle name="Millares" xfId="4" builtinId="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333595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</xdr:row>
      <xdr:rowOff>390071</xdr:rowOff>
    </xdr:from>
    <xdr:to>
      <xdr:col>1</xdr:col>
      <xdr:colOff>857250</xdr:colOff>
      <xdr:row>1</xdr:row>
      <xdr:rowOff>740832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6071" y="580571"/>
          <a:ext cx="4160762" cy="3507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>
              <a:ln>
                <a:noFill/>
              </a:ln>
            </a:rPr>
            <a:t>FORMATO</a:t>
          </a:r>
          <a:r>
            <a:rPr lang="es-MX" sz="1200" b="1" baseline="0">
              <a:ln>
                <a:noFill/>
              </a:ln>
            </a:rPr>
            <a:t> DE PEDIDOS A PARTIR DE 12 DE FEBRERO 2025.</a:t>
          </a:r>
          <a:endParaRPr lang="es-MX" sz="1200" b="1">
            <a:ln>
              <a:noFill/>
            </a:ln>
          </a:endParaRPr>
        </a:p>
      </xdr:txBody>
    </xdr:sp>
    <xdr:clientData/>
  </xdr:twoCellAnchor>
  <xdr:twoCellAnchor editAs="absolute">
    <xdr:from>
      <xdr:col>4</xdr:col>
      <xdr:colOff>1042184</xdr:colOff>
      <xdr:row>1</xdr:row>
      <xdr:rowOff>21167</xdr:rowOff>
    </xdr:from>
    <xdr:to>
      <xdr:col>6</xdr:col>
      <xdr:colOff>987561</xdr:colOff>
      <xdr:row>1</xdr:row>
      <xdr:rowOff>792078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49" y="211667"/>
          <a:ext cx="2667001" cy="767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Agromas_ Paleta de Colores">
      <a:dk1>
        <a:sysClr val="windowText" lastClr="000000"/>
      </a:dk1>
      <a:lt1>
        <a:sysClr val="window" lastClr="FFFFFF"/>
      </a:lt1>
      <a:dk2>
        <a:srgbClr val="C00000"/>
      </a:dk2>
      <a:lt2>
        <a:srgbClr val="F86C0C"/>
      </a:lt2>
      <a:accent1>
        <a:srgbClr val="FFC000"/>
      </a:accent1>
      <a:accent2>
        <a:srgbClr val="C93BBF"/>
      </a:accent2>
      <a:accent3>
        <a:srgbClr val="00B050"/>
      </a:accent3>
      <a:accent4>
        <a:srgbClr val="6B9F25"/>
      </a:accent4>
      <a:accent5>
        <a:srgbClr val="066684"/>
      </a:accent5>
      <a:accent6>
        <a:srgbClr val="0989B1"/>
      </a:accent6>
      <a:hlink>
        <a:srgbClr val="8B4E04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4"/>
  <sheetViews>
    <sheetView showGridLines="0" tabSelected="1" topLeftCell="B1" zoomScale="115" zoomScaleNormal="115" zoomScaleSheetLayoutView="50" workbookViewId="0">
      <pane ySplit="14" topLeftCell="A117" activePane="bottomLeft" state="frozen"/>
      <selection pane="bottomLeft" activeCell="F121" sqref="F121"/>
    </sheetView>
  </sheetViews>
  <sheetFormatPr baseColWidth="10" defaultColWidth="10.85546875" defaultRowHeight="15" x14ac:dyDescent="0.25"/>
  <cols>
    <col min="1" max="1" width="49.140625" customWidth="1"/>
    <col min="2" max="2" width="51.5703125" bestFit="1" customWidth="1"/>
    <col min="3" max="3" width="19.42578125" customWidth="1"/>
    <col min="4" max="4" width="21" customWidth="1"/>
    <col min="5" max="5" width="15.85546875" customWidth="1"/>
    <col min="6" max="6" width="23.85546875" customWidth="1"/>
    <col min="7" max="7" width="32.7109375" customWidth="1"/>
    <col min="8" max="8" width="3.85546875" style="46" customWidth="1"/>
    <col min="9" max="9" width="14.140625" customWidth="1"/>
    <col min="10" max="10" width="2.5703125" customWidth="1"/>
    <col min="11" max="16" width="10.85546875" hidden="1" customWidth="1"/>
    <col min="17" max="17" width="10.85546875" customWidth="1"/>
  </cols>
  <sheetData>
    <row r="1" spans="1:22" ht="15" customHeight="1" thickBot="1" x14ac:dyDescent="0.3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8"/>
    </row>
    <row r="2" spans="1:22" ht="66" customHeight="1" thickBot="1" x14ac:dyDescent="0.35">
      <c r="A2" s="139" t="s">
        <v>1</v>
      </c>
      <c r="B2" s="140"/>
      <c r="C2" s="140"/>
      <c r="D2" s="140"/>
      <c r="E2" s="140"/>
      <c r="F2" s="140"/>
      <c r="G2" s="140"/>
      <c r="H2" s="140"/>
      <c r="I2" s="140"/>
      <c r="J2" s="141"/>
    </row>
    <row r="3" spans="1:22" ht="4.5" customHeight="1" thickBot="1" x14ac:dyDescent="0.35">
      <c r="A3" s="1"/>
      <c r="B3" s="2"/>
      <c r="C3" s="2"/>
      <c r="D3" s="3"/>
      <c r="E3" s="3"/>
      <c r="F3" s="3"/>
      <c r="G3" s="3"/>
      <c r="H3" s="60"/>
      <c r="I3" s="4"/>
      <c r="J3" s="5"/>
    </row>
    <row r="4" spans="1:22" ht="15" customHeight="1" x14ac:dyDescent="0.25">
      <c r="A4" s="6" t="s">
        <v>2</v>
      </c>
      <c r="B4" s="47" t="s">
        <v>3</v>
      </c>
      <c r="E4" s="144" t="s">
        <v>4</v>
      </c>
      <c r="F4" s="145"/>
      <c r="G4" s="161">
        <f>+SUM(G16:G168)</f>
        <v>8.0399999999999991</v>
      </c>
      <c r="H4" s="61"/>
      <c r="J4" s="7"/>
    </row>
    <row r="5" spans="1:22" ht="16.5" customHeight="1" x14ac:dyDescent="0.3">
      <c r="A5" s="6" t="s">
        <v>5</v>
      </c>
      <c r="B5" s="49">
        <v>1067</v>
      </c>
      <c r="E5" s="146"/>
      <c r="F5" s="147"/>
      <c r="G5" s="162"/>
      <c r="H5" s="61"/>
      <c r="J5" s="7"/>
    </row>
    <row r="6" spans="1:22" ht="16.5" customHeight="1" thickBot="1" x14ac:dyDescent="0.3">
      <c r="A6" s="6" t="s">
        <v>6</v>
      </c>
      <c r="B6" s="135" t="s">
        <v>142</v>
      </c>
      <c r="E6" s="148"/>
      <c r="F6" s="149"/>
      <c r="G6" s="163"/>
      <c r="H6" s="61"/>
      <c r="J6" s="7"/>
    </row>
    <row r="7" spans="1:22" ht="17.25" customHeight="1" x14ac:dyDescent="0.25">
      <c r="A7" s="6" t="s">
        <v>7</v>
      </c>
      <c r="B7" s="50" t="s">
        <v>143</v>
      </c>
      <c r="J7" s="7"/>
    </row>
    <row r="8" spans="1:22" ht="17.25" thickBot="1" x14ac:dyDescent="0.35">
      <c r="A8" s="6" t="s">
        <v>8</v>
      </c>
      <c r="B8" s="51"/>
      <c r="H8" s="61"/>
      <c r="J8" s="7"/>
    </row>
    <row r="9" spans="1:22" x14ac:dyDescent="0.25">
      <c r="A9" s="8"/>
      <c r="E9" s="144" t="s">
        <v>9</v>
      </c>
      <c r="F9" s="145"/>
      <c r="G9" s="158">
        <f>+SUM(H16:H167)</f>
        <v>75027.458799999979</v>
      </c>
      <c r="H9" s="61"/>
      <c r="J9" s="7"/>
    </row>
    <row r="10" spans="1:22" ht="16.5" customHeight="1" x14ac:dyDescent="0.3">
      <c r="A10" s="9" t="s">
        <v>10</v>
      </c>
      <c r="B10" s="58">
        <v>0.04</v>
      </c>
      <c r="E10" s="146"/>
      <c r="F10" s="147"/>
      <c r="G10" s="159"/>
      <c r="H10" s="62"/>
      <c r="J10" s="7"/>
    </row>
    <row r="11" spans="1:22" ht="16.5" customHeight="1" thickBot="1" x14ac:dyDescent="0.35">
      <c r="A11" s="9" t="s">
        <v>11</v>
      </c>
      <c r="B11" s="58">
        <v>0.03</v>
      </c>
      <c r="E11" s="148"/>
      <c r="F11" s="149"/>
      <c r="G11" s="160"/>
      <c r="H11" s="62"/>
      <c r="J11" s="7"/>
    </row>
    <row r="12" spans="1:22" ht="5.25" customHeight="1" x14ac:dyDescent="0.3">
      <c r="A12" s="8"/>
      <c r="D12" s="10"/>
      <c r="E12" s="10"/>
      <c r="F12" s="10"/>
      <c r="G12" s="10"/>
      <c r="H12" s="63"/>
      <c r="J12" s="7"/>
    </row>
    <row r="13" spans="1:22" ht="6" customHeight="1" thickBot="1" x14ac:dyDescent="0.3">
      <c r="A13" s="8"/>
      <c r="J13" s="7"/>
    </row>
    <row r="14" spans="1:22" ht="39.75" customHeight="1" thickBot="1" x14ac:dyDescent="0.3">
      <c r="A14" s="44" t="s">
        <v>12</v>
      </c>
      <c r="B14" s="33" t="s">
        <v>13</v>
      </c>
      <c r="C14" s="34" t="s">
        <v>14</v>
      </c>
      <c r="D14" s="34" t="s">
        <v>15</v>
      </c>
      <c r="E14" s="34" t="s">
        <v>16</v>
      </c>
      <c r="F14" s="34" t="s">
        <v>17</v>
      </c>
      <c r="G14" s="35" t="s">
        <v>18</v>
      </c>
      <c r="H14" s="64"/>
      <c r="J14" s="7"/>
    </row>
    <row r="15" spans="1:22" ht="19.5" thickBot="1" x14ac:dyDescent="0.3">
      <c r="A15" s="182" t="s">
        <v>126</v>
      </c>
      <c r="B15" s="183"/>
      <c r="C15" s="128"/>
      <c r="D15" s="107"/>
      <c r="E15" s="107"/>
      <c r="F15" s="108"/>
      <c r="G15" s="132"/>
      <c r="H15" s="59"/>
      <c r="J15" s="7"/>
    </row>
    <row r="16" spans="1:22" ht="17.25" x14ac:dyDescent="0.25">
      <c r="A16" s="117">
        <v>734</v>
      </c>
      <c r="B16" s="109" t="s">
        <v>121</v>
      </c>
      <c r="C16" s="109" t="s">
        <v>21</v>
      </c>
      <c r="D16" s="118">
        <v>25</v>
      </c>
      <c r="E16" s="119">
        <v>249.63000000000002</v>
      </c>
      <c r="F16" s="120"/>
      <c r="G16" s="121">
        <f>+(D16*F16)/1000</f>
        <v>0</v>
      </c>
      <c r="H16" s="59">
        <f>+E16*F16*(1-$B$10-$B$11)</f>
        <v>0</v>
      </c>
      <c r="J16" s="7"/>
      <c r="K16">
        <v>0</v>
      </c>
      <c r="R16" s="92"/>
      <c r="S16" s="92"/>
      <c r="U16" s="92"/>
      <c r="V16" s="92"/>
    </row>
    <row r="17" spans="1:22" ht="17.25" x14ac:dyDescent="0.25">
      <c r="A17" s="19">
        <v>871</v>
      </c>
      <c r="B17" s="12" t="s">
        <v>122</v>
      </c>
      <c r="C17" s="12" t="s">
        <v>56</v>
      </c>
      <c r="D17" s="20">
        <v>25</v>
      </c>
      <c r="E17" s="43">
        <v>178.2</v>
      </c>
      <c r="F17" s="48">
        <v>10</v>
      </c>
      <c r="G17" s="21">
        <f t="shared" ref="G17" si="0">+(D17*F17)/1000</f>
        <v>0.25</v>
      </c>
      <c r="H17" s="59">
        <f>+E17*F17*(1-$B$10-$B$11)</f>
        <v>1657.26</v>
      </c>
      <c r="J17" s="7"/>
      <c r="K17">
        <v>0</v>
      </c>
      <c r="R17" s="92"/>
      <c r="S17" s="92"/>
      <c r="U17" s="92"/>
      <c r="V17" s="92"/>
    </row>
    <row r="18" spans="1:22" ht="17.25" x14ac:dyDescent="0.25">
      <c r="A18" s="19">
        <v>877</v>
      </c>
      <c r="B18" s="30" t="s">
        <v>123</v>
      </c>
      <c r="C18" s="70" t="s">
        <v>56</v>
      </c>
      <c r="D18" s="17">
        <v>25</v>
      </c>
      <c r="E18" s="43">
        <v>200.98</v>
      </c>
      <c r="F18" s="53">
        <v>50</v>
      </c>
      <c r="G18" s="18">
        <f>+(D18*F18)/1000</f>
        <v>1.25</v>
      </c>
      <c r="H18" s="59">
        <f>+E18*F18*(1-$B$10-$B$11)</f>
        <v>9345.57</v>
      </c>
      <c r="J18" s="7"/>
      <c r="K18">
        <v>0</v>
      </c>
      <c r="R18" s="92"/>
      <c r="S18" s="92"/>
      <c r="U18" s="92"/>
      <c r="V18" s="92"/>
    </row>
    <row r="19" spans="1:22" ht="18" thickBot="1" x14ac:dyDescent="0.3">
      <c r="A19" s="19">
        <v>768</v>
      </c>
      <c r="B19" s="12" t="s">
        <v>124</v>
      </c>
      <c r="C19" s="30" t="s">
        <v>53</v>
      </c>
      <c r="D19" s="20">
        <v>25</v>
      </c>
      <c r="E19" s="43">
        <v>276.60500000000002</v>
      </c>
      <c r="F19" s="53"/>
      <c r="G19" s="21">
        <f t="shared" ref="G19" si="1">+(D19*F19)/1000</f>
        <v>0</v>
      </c>
      <c r="H19" s="59">
        <f t="shared" ref="H19" si="2">+E19*F19*(1-$B$10-$B$11)</f>
        <v>0</v>
      </c>
      <c r="J19" s="7"/>
      <c r="K19">
        <v>0</v>
      </c>
      <c r="R19" s="92"/>
      <c r="S19" s="92"/>
      <c r="U19" s="92"/>
      <c r="V19" s="92"/>
    </row>
    <row r="20" spans="1:22" ht="19.5" thickBot="1" x14ac:dyDescent="0.3">
      <c r="A20" s="142" t="s">
        <v>19</v>
      </c>
      <c r="B20" s="143"/>
      <c r="C20" s="176"/>
      <c r="D20" s="177"/>
      <c r="E20" s="110"/>
      <c r="F20" s="110"/>
      <c r="G20" s="71"/>
      <c r="H20" s="65"/>
      <c r="J20" s="7"/>
      <c r="K20">
        <v>0</v>
      </c>
      <c r="R20" s="92"/>
      <c r="S20" s="92"/>
      <c r="U20" s="92"/>
      <c r="V20" s="92"/>
    </row>
    <row r="21" spans="1:22" ht="17.25" x14ac:dyDescent="0.25">
      <c r="A21" s="16">
        <v>732</v>
      </c>
      <c r="B21" s="30" t="s">
        <v>20</v>
      </c>
      <c r="C21" s="30" t="s">
        <v>21</v>
      </c>
      <c r="D21" s="17">
        <v>25</v>
      </c>
      <c r="E21" s="43">
        <v>302.755</v>
      </c>
      <c r="F21" s="53"/>
      <c r="G21" s="18">
        <f>+(D21*F21)/1000</f>
        <v>0</v>
      </c>
      <c r="H21" s="59">
        <f>+E21*F21*(1-$B$10-$B$11)</f>
        <v>0</v>
      </c>
      <c r="I21" s="92"/>
      <c r="J21" s="7"/>
      <c r="K21">
        <v>0</v>
      </c>
      <c r="L21">
        <v>732</v>
      </c>
      <c r="M21">
        <v>303.38</v>
      </c>
      <c r="N21">
        <f>+M21*40</f>
        <v>12135.2</v>
      </c>
      <c r="O21">
        <v>12135</v>
      </c>
      <c r="R21" s="92"/>
      <c r="S21" s="92"/>
      <c r="U21" s="92"/>
      <c r="V21" s="92"/>
    </row>
    <row r="22" spans="1:22" ht="17.25" x14ac:dyDescent="0.25">
      <c r="A22" s="16">
        <v>733</v>
      </c>
      <c r="B22" s="30" t="s">
        <v>22</v>
      </c>
      <c r="C22" s="30" t="s">
        <v>21</v>
      </c>
      <c r="D22" s="17">
        <v>25</v>
      </c>
      <c r="E22" s="43">
        <v>254.625</v>
      </c>
      <c r="F22" s="53">
        <v>5</v>
      </c>
      <c r="G22" s="18">
        <f>+(D22*F22)/1000</f>
        <v>0.125</v>
      </c>
      <c r="H22" s="59">
        <f>+E22*F22*(1-$B$10-$B$11)</f>
        <v>1184.0062499999999</v>
      </c>
      <c r="I22" s="92"/>
      <c r="J22" s="7"/>
      <c r="K22">
        <v>0</v>
      </c>
      <c r="L22">
        <v>733</v>
      </c>
      <c r="M22" s="115">
        <v>255.25</v>
      </c>
      <c r="N22" s="115">
        <f>+M22*40</f>
        <v>10210</v>
      </c>
      <c r="O22" s="115">
        <v>10210</v>
      </c>
      <c r="P22" s="116">
        <f>+O22-N22</f>
        <v>0</v>
      </c>
      <c r="R22" s="92"/>
      <c r="S22" s="92"/>
      <c r="U22" s="92"/>
      <c r="V22" s="92"/>
    </row>
    <row r="23" spans="1:22" ht="18" thickBot="1" x14ac:dyDescent="0.3">
      <c r="A23" s="16">
        <v>729</v>
      </c>
      <c r="B23" s="32" t="s">
        <v>23</v>
      </c>
      <c r="C23" s="32" t="s">
        <v>21</v>
      </c>
      <c r="D23" s="17">
        <v>25</v>
      </c>
      <c r="E23" s="43">
        <v>265.875</v>
      </c>
      <c r="F23" s="53">
        <v>15</v>
      </c>
      <c r="G23" s="18">
        <f>+(D23*F23)/1000</f>
        <v>0.375</v>
      </c>
      <c r="H23" s="59">
        <f>+E23*F23*(1-$B$10-$B$11)</f>
        <v>3708.9562499999997</v>
      </c>
      <c r="I23" s="92"/>
      <c r="J23" s="7"/>
      <c r="K23">
        <v>0</v>
      </c>
      <c r="L23">
        <v>729</v>
      </c>
      <c r="M23" s="115">
        <v>267.75</v>
      </c>
      <c r="N23" s="115">
        <f>+M23*40</f>
        <v>10710</v>
      </c>
      <c r="O23" s="115">
        <v>10710</v>
      </c>
      <c r="P23" s="116">
        <f>+O23-N23</f>
        <v>0</v>
      </c>
      <c r="R23" s="92"/>
      <c r="S23" s="92"/>
      <c r="U23" s="92"/>
      <c r="V23" s="92"/>
    </row>
    <row r="24" spans="1:22" ht="19.5" thickBot="1" x14ac:dyDescent="0.3">
      <c r="A24" s="170" t="s">
        <v>24</v>
      </c>
      <c r="B24" s="171"/>
      <c r="C24" s="72"/>
      <c r="D24" s="73"/>
      <c r="E24" s="72"/>
      <c r="F24" s="73"/>
      <c r="G24" s="74"/>
      <c r="H24" s="59"/>
      <c r="J24" s="7"/>
      <c r="K24">
        <v>0</v>
      </c>
      <c r="R24" s="92"/>
      <c r="S24" s="92"/>
      <c r="U24" s="92"/>
      <c r="V24" s="92"/>
    </row>
    <row r="25" spans="1:22" ht="17.25" x14ac:dyDescent="0.25">
      <c r="A25" s="11">
        <v>747</v>
      </c>
      <c r="B25" s="12" t="s">
        <v>25</v>
      </c>
      <c r="C25" s="12" t="s">
        <v>21</v>
      </c>
      <c r="D25" s="13">
        <v>25</v>
      </c>
      <c r="E25" s="43">
        <v>293.375</v>
      </c>
      <c r="F25" s="54">
        <v>30</v>
      </c>
      <c r="G25" s="14">
        <f t="shared" ref="G25:G26" si="3">+(D25*F25)/1000</f>
        <v>0.75</v>
      </c>
      <c r="H25" s="59">
        <f>+E25*F25*(1-$B$10-$B$11)</f>
        <v>8185.1624999999995</v>
      </c>
      <c r="I25" s="92"/>
      <c r="J25" s="7"/>
      <c r="K25">
        <v>0</v>
      </c>
      <c r="R25" s="92"/>
      <c r="S25" s="92"/>
      <c r="U25" s="92"/>
      <c r="V25" s="92"/>
    </row>
    <row r="26" spans="1:22" ht="17.25" x14ac:dyDescent="0.25">
      <c r="A26" s="19">
        <v>746</v>
      </c>
      <c r="B26" s="12" t="s">
        <v>26</v>
      </c>
      <c r="C26" s="12" t="s">
        <v>21</v>
      </c>
      <c r="D26" s="20">
        <v>25</v>
      </c>
      <c r="E26" s="43">
        <v>292.13</v>
      </c>
      <c r="F26" s="53">
        <v>25</v>
      </c>
      <c r="G26" s="21">
        <f t="shared" si="3"/>
        <v>0.625</v>
      </c>
      <c r="H26" s="59">
        <f>+E26*F26*(1-$B$10-$B$11)</f>
        <v>6792.0224999999991</v>
      </c>
      <c r="I26" s="92"/>
      <c r="J26" s="7"/>
      <c r="K26">
        <v>0</v>
      </c>
      <c r="R26" s="92"/>
      <c r="S26" s="92"/>
      <c r="U26" s="92"/>
      <c r="V26" s="92"/>
    </row>
    <row r="27" spans="1:22" ht="17.25" x14ac:dyDescent="0.25">
      <c r="A27" s="16">
        <v>740</v>
      </c>
      <c r="B27" s="25" t="s">
        <v>27</v>
      </c>
      <c r="C27" s="12" t="s">
        <v>21</v>
      </c>
      <c r="D27" s="17">
        <v>25</v>
      </c>
      <c r="E27" s="43">
        <v>198.63</v>
      </c>
      <c r="F27" s="53"/>
      <c r="G27" s="21">
        <f>+(D27*F27)/1000</f>
        <v>0</v>
      </c>
      <c r="H27" s="59">
        <f>+E27*F27*(1-$B$11)</f>
        <v>0</v>
      </c>
      <c r="I27" s="92"/>
      <c r="J27" s="7"/>
      <c r="K27">
        <v>0</v>
      </c>
      <c r="R27" s="92"/>
      <c r="S27" s="92"/>
      <c r="U27" s="92"/>
      <c r="V27" s="92"/>
    </row>
    <row r="28" spans="1:22" ht="17.25" x14ac:dyDescent="0.25">
      <c r="A28" s="16">
        <v>741</v>
      </c>
      <c r="B28" s="25" t="s">
        <v>28</v>
      </c>
      <c r="C28" s="12" t="s">
        <v>21</v>
      </c>
      <c r="D28" s="17">
        <v>25</v>
      </c>
      <c r="E28" s="43">
        <v>175.43</v>
      </c>
      <c r="F28" s="53"/>
      <c r="G28" s="21">
        <f>+(D28*F28)/1000</f>
        <v>0</v>
      </c>
      <c r="H28" s="59">
        <f>+E28*F28*(1-$B$11)</f>
        <v>0</v>
      </c>
      <c r="I28" s="92"/>
      <c r="J28" s="7"/>
      <c r="K28">
        <v>0</v>
      </c>
      <c r="R28" s="92"/>
      <c r="S28" s="92"/>
      <c r="U28" s="92"/>
      <c r="V28" s="92"/>
    </row>
    <row r="29" spans="1:22" ht="18" thickBot="1" x14ac:dyDescent="0.3">
      <c r="A29" s="16">
        <v>744</v>
      </c>
      <c r="B29" s="87" t="s">
        <v>29</v>
      </c>
      <c r="C29" s="70" t="s">
        <v>21</v>
      </c>
      <c r="D29" s="17">
        <v>25</v>
      </c>
      <c r="E29" s="43">
        <v>144.88</v>
      </c>
      <c r="F29" s="53">
        <v>20</v>
      </c>
      <c r="G29" s="18">
        <f>+(D29*F29)/1000</f>
        <v>0.5</v>
      </c>
      <c r="H29" s="59">
        <f>+E29*F29*(1-$B$11)</f>
        <v>2810.672</v>
      </c>
      <c r="I29" s="92"/>
      <c r="J29" s="7"/>
      <c r="K29">
        <v>0</v>
      </c>
      <c r="R29" s="92"/>
      <c r="S29" s="92"/>
      <c r="U29" s="92"/>
      <c r="V29" s="92"/>
    </row>
    <row r="30" spans="1:22" ht="19.5" thickBot="1" x14ac:dyDescent="0.3">
      <c r="A30" s="152" t="s">
        <v>134</v>
      </c>
      <c r="B30" s="153"/>
      <c r="C30" s="123"/>
      <c r="D30" s="75"/>
      <c r="E30" s="75"/>
      <c r="F30" s="76"/>
      <c r="G30" s="77"/>
      <c r="H30" s="59"/>
      <c r="J30" s="7"/>
      <c r="R30" s="92"/>
      <c r="S30" s="92"/>
      <c r="U30" s="92"/>
      <c r="V30" s="92"/>
    </row>
    <row r="31" spans="1:22" ht="17.25" x14ac:dyDescent="0.25">
      <c r="A31" s="130">
        <v>692</v>
      </c>
      <c r="B31" s="12" t="s">
        <v>135</v>
      </c>
      <c r="C31" s="12" t="s">
        <v>32</v>
      </c>
      <c r="D31" s="94">
        <v>20</v>
      </c>
      <c r="E31" s="43">
        <v>697.56</v>
      </c>
      <c r="F31" s="54"/>
      <c r="G31" s="14">
        <f t="shared" ref="G31:G34" si="4">+(D31*F31)/1000</f>
        <v>0</v>
      </c>
      <c r="H31" s="59">
        <f t="shared" ref="H31:H34" si="5">+E31*F31*(1-$B$10-$B$11)</f>
        <v>0</v>
      </c>
      <c r="I31" s="92"/>
      <c r="J31" s="7"/>
      <c r="R31" s="92"/>
      <c r="S31" s="92"/>
      <c r="U31" s="92"/>
      <c r="V31" s="92"/>
    </row>
    <row r="32" spans="1:22" ht="17.25" x14ac:dyDescent="0.25">
      <c r="A32" s="16">
        <v>661</v>
      </c>
      <c r="B32" s="12" t="s">
        <v>136</v>
      </c>
      <c r="C32" s="12" t="s">
        <v>32</v>
      </c>
      <c r="D32" s="17">
        <v>20</v>
      </c>
      <c r="E32" s="43">
        <v>575.70000000000005</v>
      </c>
      <c r="F32" s="53">
        <v>1</v>
      </c>
      <c r="G32" s="21">
        <f t="shared" si="4"/>
        <v>0.02</v>
      </c>
      <c r="H32" s="59">
        <f t="shared" si="5"/>
        <v>535.40099999999995</v>
      </c>
      <c r="I32" s="92"/>
      <c r="J32" s="7"/>
      <c r="R32" s="92"/>
      <c r="S32" s="92"/>
      <c r="U32" s="92"/>
      <c r="V32" s="92"/>
    </row>
    <row r="33" spans="1:22" ht="17.25" x14ac:dyDescent="0.25">
      <c r="A33" s="16">
        <v>662</v>
      </c>
      <c r="B33" s="12" t="s">
        <v>137</v>
      </c>
      <c r="C33" s="12" t="s">
        <v>32</v>
      </c>
      <c r="D33" s="17">
        <v>20</v>
      </c>
      <c r="E33" s="43">
        <v>461.86</v>
      </c>
      <c r="F33" s="53"/>
      <c r="G33" s="21">
        <f t="shared" si="4"/>
        <v>0</v>
      </c>
      <c r="H33" s="59">
        <f t="shared" si="5"/>
        <v>0</v>
      </c>
      <c r="I33" s="92"/>
      <c r="J33" s="7"/>
      <c r="R33" s="92"/>
      <c r="S33" s="92"/>
      <c r="U33" s="92"/>
      <c r="V33" s="92"/>
    </row>
    <row r="34" spans="1:22" ht="18" thickBot="1" x14ac:dyDescent="0.3">
      <c r="A34" s="16">
        <v>663</v>
      </c>
      <c r="B34" s="12" t="s">
        <v>138</v>
      </c>
      <c r="C34" s="12" t="s">
        <v>32</v>
      </c>
      <c r="D34" s="17">
        <v>20</v>
      </c>
      <c r="E34" s="43">
        <v>395.22</v>
      </c>
      <c r="F34" s="53">
        <v>6</v>
      </c>
      <c r="G34" s="21">
        <f t="shared" si="4"/>
        <v>0.12</v>
      </c>
      <c r="H34" s="59">
        <f t="shared" si="5"/>
        <v>2205.3276000000001</v>
      </c>
      <c r="I34" s="92"/>
      <c r="J34" s="7"/>
      <c r="R34" s="92"/>
      <c r="S34" s="92"/>
      <c r="U34" s="92"/>
      <c r="V34" s="92"/>
    </row>
    <row r="35" spans="1:22" ht="19.5" thickBot="1" x14ac:dyDescent="0.3">
      <c r="A35" s="152" t="s">
        <v>30</v>
      </c>
      <c r="B35" s="153"/>
      <c r="C35" s="123"/>
      <c r="D35" s="75"/>
      <c r="E35" s="75"/>
      <c r="F35" s="76"/>
      <c r="G35" s="77"/>
      <c r="H35" s="59"/>
      <c r="J35" s="7"/>
      <c r="K35">
        <v>0</v>
      </c>
      <c r="R35" s="92"/>
      <c r="S35" s="92"/>
      <c r="U35" s="92"/>
      <c r="V35" s="92"/>
    </row>
    <row r="36" spans="1:22" ht="17.25" x14ac:dyDescent="0.25">
      <c r="A36" s="16">
        <v>817</v>
      </c>
      <c r="B36" s="12" t="s">
        <v>31</v>
      </c>
      <c r="C36" s="12" t="s">
        <v>32</v>
      </c>
      <c r="D36" s="17">
        <v>25</v>
      </c>
      <c r="E36" s="43">
        <v>238.375</v>
      </c>
      <c r="F36" s="57"/>
      <c r="G36" s="38">
        <f>+(D36*F36)/1000</f>
        <v>0</v>
      </c>
      <c r="H36" s="59">
        <f t="shared" ref="H36:H55" si="6">+E36*F36*(1-$B$10-$B$11)</f>
        <v>0</v>
      </c>
      <c r="I36" s="92"/>
      <c r="J36" s="7"/>
      <c r="K36">
        <v>0</v>
      </c>
      <c r="R36" s="92"/>
      <c r="S36" s="92"/>
      <c r="U36" s="92"/>
      <c r="V36" s="92"/>
    </row>
    <row r="37" spans="1:22" ht="17.25" x14ac:dyDescent="0.25">
      <c r="A37" s="16">
        <v>816</v>
      </c>
      <c r="B37" s="12" t="s">
        <v>33</v>
      </c>
      <c r="C37" s="12" t="s">
        <v>32</v>
      </c>
      <c r="D37" s="17">
        <v>25</v>
      </c>
      <c r="E37" s="43">
        <v>287.12</v>
      </c>
      <c r="F37" s="48">
        <v>10</v>
      </c>
      <c r="G37" s="21">
        <f>+(D37*F37)/1000</f>
        <v>0.25</v>
      </c>
      <c r="H37" s="59">
        <f t="shared" si="6"/>
        <v>2670.2159999999994</v>
      </c>
      <c r="I37" s="92"/>
      <c r="J37" s="7"/>
      <c r="K37">
        <v>0</v>
      </c>
      <c r="R37" s="92"/>
      <c r="S37" s="92"/>
      <c r="U37" s="92"/>
      <c r="V37" s="92"/>
    </row>
    <row r="38" spans="1:22" ht="17.25" x14ac:dyDescent="0.25">
      <c r="A38" s="16">
        <v>820</v>
      </c>
      <c r="B38" s="12" t="s">
        <v>34</v>
      </c>
      <c r="C38" s="12" t="s">
        <v>32</v>
      </c>
      <c r="D38" s="17">
        <v>25</v>
      </c>
      <c r="E38" s="43">
        <v>340.245</v>
      </c>
      <c r="F38" s="53"/>
      <c r="G38" s="18">
        <f>+(D38*F38)/1000</f>
        <v>0</v>
      </c>
      <c r="H38" s="59">
        <f t="shared" si="6"/>
        <v>0</v>
      </c>
      <c r="I38" s="92"/>
      <c r="J38" s="7"/>
      <c r="K38">
        <v>0</v>
      </c>
      <c r="R38" s="92"/>
      <c r="S38" s="92"/>
      <c r="U38" s="92"/>
      <c r="V38" s="92"/>
    </row>
    <row r="39" spans="1:22" ht="17.25" x14ac:dyDescent="0.25">
      <c r="A39" s="16">
        <v>815</v>
      </c>
      <c r="B39" s="12" t="s">
        <v>35</v>
      </c>
      <c r="C39" s="12" t="s">
        <v>32</v>
      </c>
      <c r="D39" s="17">
        <v>25</v>
      </c>
      <c r="E39" s="43">
        <v>288.375</v>
      </c>
      <c r="F39" s="53">
        <v>10</v>
      </c>
      <c r="G39" s="18">
        <f t="shared" ref="G39:G44" si="7">+(D39*F39)/1000</f>
        <v>0.25</v>
      </c>
      <c r="H39" s="59">
        <f t="shared" si="6"/>
        <v>2681.8874999999998</v>
      </c>
      <c r="I39" s="92"/>
      <c r="J39" s="7"/>
      <c r="K39">
        <v>0</v>
      </c>
      <c r="R39" s="92"/>
      <c r="S39" s="92"/>
      <c r="U39" s="92"/>
      <c r="V39" s="92"/>
    </row>
    <row r="40" spans="1:22" ht="17.25" x14ac:dyDescent="0.25">
      <c r="A40" s="16">
        <v>821</v>
      </c>
      <c r="B40" s="12" t="s">
        <v>36</v>
      </c>
      <c r="C40" s="12" t="s">
        <v>32</v>
      </c>
      <c r="D40" s="17">
        <v>25</v>
      </c>
      <c r="E40" s="43">
        <v>262.125</v>
      </c>
      <c r="F40" s="53">
        <v>20</v>
      </c>
      <c r="G40" s="18">
        <f t="shared" si="7"/>
        <v>0.5</v>
      </c>
      <c r="H40" s="59">
        <f t="shared" si="6"/>
        <v>4875.5249999999996</v>
      </c>
      <c r="I40" s="92"/>
      <c r="J40" s="7"/>
      <c r="K40">
        <v>0</v>
      </c>
      <c r="R40" s="92"/>
      <c r="S40" s="92"/>
      <c r="U40" s="92"/>
      <c r="V40" s="92"/>
    </row>
    <row r="41" spans="1:22" ht="17.25" x14ac:dyDescent="0.25">
      <c r="A41" s="16">
        <v>822</v>
      </c>
      <c r="B41" s="12" t="s">
        <v>37</v>
      </c>
      <c r="C41" s="12" t="s">
        <v>32</v>
      </c>
      <c r="D41" s="17">
        <v>25</v>
      </c>
      <c r="E41" s="43">
        <v>247.75</v>
      </c>
      <c r="F41" s="53"/>
      <c r="G41" s="18">
        <f t="shared" si="7"/>
        <v>0</v>
      </c>
      <c r="H41" s="59">
        <f t="shared" si="6"/>
        <v>0</v>
      </c>
      <c r="I41" s="92"/>
      <c r="J41" s="7"/>
      <c r="K41">
        <v>0</v>
      </c>
      <c r="R41" s="92"/>
      <c r="S41" s="92"/>
      <c r="U41" s="92"/>
      <c r="V41" s="92"/>
    </row>
    <row r="42" spans="1:22" ht="17.25" x14ac:dyDescent="0.25">
      <c r="A42" s="16">
        <v>819</v>
      </c>
      <c r="B42" s="12" t="s">
        <v>38</v>
      </c>
      <c r="C42" s="12" t="s">
        <v>32</v>
      </c>
      <c r="D42" s="17">
        <v>25</v>
      </c>
      <c r="E42" s="43">
        <v>248.375</v>
      </c>
      <c r="F42" s="53">
        <v>15</v>
      </c>
      <c r="G42" s="18">
        <f t="shared" si="7"/>
        <v>0.375</v>
      </c>
      <c r="H42" s="59">
        <f t="shared" si="6"/>
        <v>3464.8312499999997</v>
      </c>
      <c r="I42" s="92"/>
      <c r="J42" s="7"/>
      <c r="K42">
        <v>0</v>
      </c>
      <c r="R42" s="92"/>
      <c r="S42" s="92"/>
      <c r="U42" s="92"/>
      <c r="V42" s="92"/>
    </row>
    <row r="43" spans="1:22" ht="17.25" x14ac:dyDescent="0.25">
      <c r="A43" s="19">
        <v>818</v>
      </c>
      <c r="B43" s="30" t="s">
        <v>39</v>
      </c>
      <c r="C43" s="30" t="s">
        <v>32</v>
      </c>
      <c r="D43" s="20">
        <v>25</v>
      </c>
      <c r="E43" s="43">
        <v>263.995</v>
      </c>
      <c r="F43" s="48"/>
      <c r="G43" s="21">
        <f t="shared" si="7"/>
        <v>0</v>
      </c>
      <c r="H43" s="59">
        <f t="shared" si="6"/>
        <v>0</v>
      </c>
      <c r="I43" s="92"/>
      <c r="J43" s="7"/>
      <c r="K43">
        <v>0</v>
      </c>
      <c r="R43" s="92"/>
      <c r="S43" s="92"/>
      <c r="U43" s="92"/>
      <c r="V43" s="92"/>
    </row>
    <row r="44" spans="1:22" ht="18" thickBot="1" x14ac:dyDescent="0.3">
      <c r="A44" s="16">
        <v>915</v>
      </c>
      <c r="B44" s="32" t="s">
        <v>139</v>
      </c>
      <c r="C44" s="32" t="s">
        <v>32</v>
      </c>
      <c r="D44" s="17">
        <v>25</v>
      </c>
      <c r="E44" s="43">
        <v>254.75</v>
      </c>
      <c r="F44" s="53">
        <v>2</v>
      </c>
      <c r="G44" s="18">
        <f t="shared" si="7"/>
        <v>0.05</v>
      </c>
      <c r="H44" s="59">
        <f t="shared" si="6"/>
        <v>473.83499999999998</v>
      </c>
      <c r="I44" s="92"/>
      <c r="J44" s="7"/>
      <c r="R44" s="92"/>
      <c r="S44" s="92"/>
      <c r="U44" s="92"/>
      <c r="V44" s="92"/>
    </row>
    <row r="45" spans="1:22" ht="19.5" thickBot="1" x14ac:dyDescent="0.3">
      <c r="A45" s="152" t="s">
        <v>40</v>
      </c>
      <c r="B45" s="153"/>
      <c r="C45" s="123"/>
      <c r="D45" s="75"/>
      <c r="E45" s="75"/>
      <c r="F45" s="76"/>
      <c r="G45" s="77"/>
      <c r="H45" s="59"/>
      <c r="J45" s="7"/>
      <c r="K45">
        <v>0</v>
      </c>
      <c r="R45" s="92"/>
      <c r="S45" s="92"/>
      <c r="U45" s="92"/>
      <c r="V45" s="92"/>
    </row>
    <row r="46" spans="1:22" ht="17.25" x14ac:dyDescent="0.25">
      <c r="A46" s="130">
        <v>825</v>
      </c>
      <c r="B46" s="12" t="s">
        <v>41</v>
      </c>
      <c r="C46" s="12" t="s">
        <v>32</v>
      </c>
      <c r="D46" s="94">
        <v>25</v>
      </c>
      <c r="E46" s="43">
        <v>229</v>
      </c>
      <c r="F46" s="131"/>
      <c r="G46" s="14">
        <f>+(D46*F46)/1000</f>
        <v>0</v>
      </c>
      <c r="H46" s="59">
        <f t="shared" si="6"/>
        <v>0</v>
      </c>
      <c r="I46" s="92"/>
      <c r="J46" s="7"/>
      <c r="K46">
        <v>0</v>
      </c>
      <c r="R46" s="92"/>
      <c r="S46" s="92"/>
      <c r="U46" s="92"/>
      <c r="V46" s="92"/>
    </row>
    <row r="47" spans="1:22" ht="17.25" x14ac:dyDescent="0.25">
      <c r="A47" s="16">
        <v>824</v>
      </c>
      <c r="B47" s="12" t="s">
        <v>42</v>
      </c>
      <c r="C47" s="12" t="s">
        <v>32</v>
      </c>
      <c r="D47" s="17">
        <v>25</v>
      </c>
      <c r="E47" s="43">
        <v>269</v>
      </c>
      <c r="F47" s="79"/>
      <c r="G47" s="21">
        <f t="shared" ref="G47:G53" si="8">+(D47*F47)/1000</f>
        <v>0</v>
      </c>
      <c r="H47" s="59">
        <f t="shared" si="6"/>
        <v>0</v>
      </c>
      <c r="I47" s="92"/>
      <c r="J47" s="7"/>
      <c r="K47">
        <v>0</v>
      </c>
      <c r="R47" s="92"/>
      <c r="S47" s="92"/>
      <c r="U47" s="92"/>
      <c r="V47" s="92"/>
    </row>
    <row r="48" spans="1:22" ht="17.25" x14ac:dyDescent="0.25">
      <c r="A48" s="16">
        <v>828</v>
      </c>
      <c r="B48" s="12" t="s">
        <v>43</v>
      </c>
      <c r="C48" s="12" t="s">
        <v>32</v>
      </c>
      <c r="D48" s="17">
        <v>25</v>
      </c>
      <c r="E48" s="43">
        <v>242.75</v>
      </c>
      <c r="F48" s="79">
        <v>10</v>
      </c>
      <c r="G48" s="21">
        <f t="shared" si="8"/>
        <v>0.25</v>
      </c>
      <c r="H48" s="59">
        <f t="shared" si="6"/>
        <v>2257.5749999999998</v>
      </c>
      <c r="I48" s="92"/>
      <c r="J48" s="7"/>
      <c r="K48">
        <v>0</v>
      </c>
      <c r="R48" s="92"/>
      <c r="S48" s="92"/>
      <c r="U48" s="92"/>
      <c r="V48" s="92"/>
    </row>
    <row r="49" spans="1:22" ht="18" thickBot="1" x14ac:dyDescent="0.3">
      <c r="A49" s="16">
        <v>826</v>
      </c>
      <c r="B49" s="12" t="s">
        <v>44</v>
      </c>
      <c r="C49" s="12" t="s">
        <v>32</v>
      </c>
      <c r="D49" s="17">
        <v>25</v>
      </c>
      <c r="E49" s="43">
        <v>229.63000000000002</v>
      </c>
      <c r="F49" s="79">
        <v>10</v>
      </c>
      <c r="G49" s="21">
        <f t="shared" si="8"/>
        <v>0.25</v>
      </c>
      <c r="H49" s="59">
        <f t="shared" si="6"/>
        <v>2135.5590000000002</v>
      </c>
      <c r="I49" s="92"/>
      <c r="J49" s="7"/>
      <c r="K49">
        <v>0</v>
      </c>
      <c r="R49" s="92"/>
      <c r="S49" s="92"/>
      <c r="U49" s="92"/>
      <c r="V49" s="92"/>
    </row>
    <row r="50" spans="1:22" ht="19.5" thickBot="1" x14ac:dyDescent="0.3">
      <c r="A50" s="152" t="s">
        <v>45</v>
      </c>
      <c r="B50" s="153"/>
      <c r="C50" s="123"/>
      <c r="D50" s="75"/>
      <c r="E50" s="75"/>
      <c r="F50" s="76"/>
      <c r="G50" s="78"/>
      <c r="H50" s="59"/>
      <c r="J50" s="7"/>
      <c r="K50">
        <v>0</v>
      </c>
      <c r="R50" s="92"/>
      <c r="S50" s="92"/>
      <c r="U50" s="92"/>
      <c r="V50" s="92"/>
    </row>
    <row r="51" spans="1:22" ht="17.25" x14ac:dyDescent="0.25">
      <c r="A51" s="16">
        <v>812</v>
      </c>
      <c r="B51" s="12" t="s">
        <v>46</v>
      </c>
      <c r="C51" s="12" t="s">
        <v>32</v>
      </c>
      <c r="D51" s="17">
        <v>25</v>
      </c>
      <c r="E51" s="43">
        <v>254.38000000000002</v>
      </c>
      <c r="F51" s="53"/>
      <c r="G51" s="21">
        <f t="shared" si="8"/>
        <v>0</v>
      </c>
      <c r="H51" s="59">
        <f t="shared" si="6"/>
        <v>0</v>
      </c>
      <c r="I51" s="92"/>
      <c r="J51" s="7"/>
      <c r="K51">
        <v>0</v>
      </c>
      <c r="R51" s="92"/>
      <c r="S51" s="92"/>
      <c r="U51" s="92"/>
      <c r="V51" s="92"/>
    </row>
    <row r="52" spans="1:22" ht="17.25" x14ac:dyDescent="0.25">
      <c r="A52" s="16">
        <v>813</v>
      </c>
      <c r="B52" s="12" t="s">
        <v>47</v>
      </c>
      <c r="C52" s="12" t="s">
        <v>32</v>
      </c>
      <c r="D52" s="17">
        <v>25</v>
      </c>
      <c r="E52" s="43">
        <v>241.88000000000002</v>
      </c>
      <c r="F52" s="53"/>
      <c r="G52" s="21">
        <f t="shared" si="8"/>
        <v>0</v>
      </c>
      <c r="H52" s="59">
        <f t="shared" si="6"/>
        <v>0</v>
      </c>
      <c r="I52" s="92"/>
      <c r="J52" s="7"/>
      <c r="K52">
        <v>0</v>
      </c>
      <c r="R52" s="92"/>
      <c r="S52" s="92"/>
      <c r="U52" s="92"/>
      <c r="V52" s="92"/>
    </row>
    <row r="53" spans="1:22" ht="18" thickBot="1" x14ac:dyDescent="0.3">
      <c r="A53" s="16">
        <v>814</v>
      </c>
      <c r="B53" s="12" t="s">
        <v>48</v>
      </c>
      <c r="C53" s="12" t="s">
        <v>32</v>
      </c>
      <c r="D53" s="17">
        <v>25</v>
      </c>
      <c r="E53" s="43">
        <v>206.25</v>
      </c>
      <c r="F53" s="53"/>
      <c r="G53" s="21">
        <f t="shared" si="8"/>
        <v>0</v>
      </c>
      <c r="H53" s="59">
        <f t="shared" si="6"/>
        <v>0</v>
      </c>
      <c r="I53" s="92"/>
      <c r="J53" s="7"/>
      <c r="K53">
        <v>0</v>
      </c>
      <c r="R53" s="92"/>
      <c r="S53" s="92"/>
      <c r="U53" s="92"/>
      <c r="V53" s="92"/>
    </row>
    <row r="54" spans="1:22" ht="19.5" thickBot="1" x14ac:dyDescent="0.3">
      <c r="A54" s="154" t="s">
        <v>49</v>
      </c>
      <c r="B54" s="155"/>
      <c r="C54" s="129"/>
      <c r="D54" s="22"/>
      <c r="E54" s="22"/>
      <c r="F54" s="23"/>
      <c r="G54" s="24"/>
      <c r="H54" s="59"/>
      <c r="J54" s="7"/>
      <c r="K54">
        <v>0</v>
      </c>
      <c r="R54" s="92"/>
      <c r="S54" s="92"/>
      <c r="U54" s="92"/>
      <c r="V54" s="92"/>
    </row>
    <row r="55" spans="1:22" ht="18" thickBot="1" x14ac:dyDescent="0.3">
      <c r="A55" s="39">
        <v>834</v>
      </c>
      <c r="B55" s="36" t="s">
        <v>50</v>
      </c>
      <c r="C55" s="36" t="s">
        <v>32</v>
      </c>
      <c r="D55" s="45">
        <v>25</v>
      </c>
      <c r="E55" s="43">
        <v>199.88</v>
      </c>
      <c r="F55" s="56">
        <v>5</v>
      </c>
      <c r="G55" s="37">
        <f>+(D55*F55)/1000</f>
        <v>0.125</v>
      </c>
      <c r="H55" s="59">
        <f t="shared" si="6"/>
        <v>929.44199999999989</v>
      </c>
      <c r="I55" s="92"/>
      <c r="J55" s="7"/>
      <c r="K55">
        <v>0</v>
      </c>
      <c r="R55" s="92"/>
      <c r="S55" s="92"/>
      <c r="U55" s="92"/>
      <c r="V55" s="92"/>
    </row>
    <row r="56" spans="1:22" ht="19.5" thickBot="1" x14ac:dyDescent="0.3">
      <c r="A56" s="172" t="s">
        <v>51</v>
      </c>
      <c r="B56" s="173"/>
      <c r="C56" s="124"/>
      <c r="D56" s="67"/>
      <c r="E56" s="67"/>
      <c r="F56" s="68"/>
      <c r="G56" s="69"/>
      <c r="H56" s="59"/>
      <c r="J56" s="7"/>
      <c r="K56">
        <v>0</v>
      </c>
      <c r="R56" s="92"/>
      <c r="S56" s="92"/>
      <c r="U56" s="92"/>
      <c r="V56" s="92"/>
    </row>
    <row r="57" spans="1:22" ht="17.25" x14ac:dyDescent="0.25">
      <c r="A57" s="11">
        <v>835</v>
      </c>
      <c r="B57" s="25" t="s">
        <v>52</v>
      </c>
      <c r="C57" s="12" t="s">
        <v>32</v>
      </c>
      <c r="D57" s="20">
        <v>25</v>
      </c>
      <c r="E57" s="43">
        <v>209.185</v>
      </c>
      <c r="F57" s="48"/>
      <c r="G57" s="21">
        <f t="shared" ref="G57:G63" si="9">+(D57*F57)/1000</f>
        <v>0</v>
      </c>
      <c r="H57" s="59">
        <f t="shared" ref="H57:H63" si="10">+E57*F57*(1-$B$11)</f>
        <v>0</v>
      </c>
      <c r="I57" s="92"/>
      <c r="J57" s="7"/>
      <c r="K57">
        <v>0</v>
      </c>
      <c r="R57" s="92"/>
      <c r="S57" s="92"/>
      <c r="U57" s="92"/>
      <c r="V57" s="92"/>
    </row>
    <row r="58" spans="1:22" ht="17.25" x14ac:dyDescent="0.25">
      <c r="A58" s="19">
        <v>855</v>
      </c>
      <c r="B58" s="25" t="s">
        <v>52</v>
      </c>
      <c r="C58" s="12" t="s">
        <v>53</v>
      </c>
      <c r="D58" s="20">
        <v>25</v>
      </c>
      <c r="E58" s="43">
        <v>214.63000000000002</v>
      </c>
      <c r="F58" s="48"/>
      <c r="G58" s="21">
        <f t="shared" si="9"/>
        <v>0</v>
      </c>
      <c r="H58" s="59">
        <f t="shared" si="10"/>
        <v>0</v>
      </c>
      <c r="I58" s="92"/>
      <c r="J58" s="7"/>
      <c r="K58">
        <v>0</v>
      </c>
      <c r="R58" s="92"/>
      <c r="S58" s="92"/>
      <c r="U58" s="92"/>
      <c r="V58" s="92"/>
    </row>
    <row r="59" spans="1:22" ht="17.25" x14ac:dyDescent="0.25">
      <c r="A59" s="11">
        <v>844</v>
      </c>
      <c r="B59" s="25" t="s">
        <v>54</v>
      </c>
      <c r="C59" s="12" t="s">
        <v>32</v>
      </c>
      <c r="D59" s="13">
        <v>25</v>
      </c>
      <c r="E59" s="43">
        <v>216.5</v>
      </c>
      <c r="F59" s="48"/>
      <c r="G59" s="21">
        <f t="shared" si="9"/>
        <v>0</v>
      </c>
      <c r="H59" s="59">
        <f t="shared" si="10"/>
        <v>0</v>
      </c>
      <c r="I59" s="92"/>
      <c r="J59" s="7"/>
      <c r="K59">
        <v>0</v>
      </c>
      <c r="R59" s="92"/>
      <c r="S59" s="92"/>
      <c r="U59" s="92"/>
      <c r="V59" s="92"/>
    </row>
    <row r="60" spans="1:22" ht="17.25" x14ac:dyDescent="0.25">
      <c r="A60" s="11">
        <v>901</v>
      </c>
      <c r="B60" s="25" t="s">
        <v>140</v>
      </c>
      <c r="C60" s="12" t="s">
        <v>32</v>
      </c>
      <c r="D60" s="13">
        <v>25</v>
      </c>
      <c r="E60" s="43">
        <v>218.25500000000002</v>
      </c>
      <c r="F60" s="48">
        <v>10</v>
      </c>
      <c r="G60" s="21">
        <f t="shared" si="9"/>
        <v>0.25</v>
      </c>
      <c r="H60" s="59">
        <f>+E60*F60*(1-$B$11)</f>
        <v>2117.0735</v>
      </c>
      <c r="I60" s="92"/>
      <c r="J60" s="7"/>
      <c r="R60" s="92"/>
      <c r="S60" s="92"/>
      <c r="U60" s="92"/>
      <c r="V60" s="92"/>
    </row>
    <row r="61" spans="1:22" ht="17.25" x14ac:dyDescent="0.25">
      <c r="A61" s="11">
        <v>840</v>
      </c>
      <c r="B61" s="25" t="s">
        <v>55</v>
      </c>
      <c r="C61" s="12" t="s">
        <v>53</v>
      </c>
      <c r="D61" s="13">
        <v>25</v>
      </c>
      <c r="E61" s="43">
        <v>180.5</v>
      </c>
      <c r="F61" s="48"/>
      <c r="G61" s="21">
        <f t="shared" si="9"/>
        <v>0</v>
      </c>
      <c r="H61" s="59">
        <f t="shared" si="10"/>
        <v>0</v>
      </c>
      <c r="I61" s="92"/>
      <c r="J61" s="7"/>
      <c r="K61">
        <v>0</v>
      </c>
      <c r="R61" s="92"/>
      <c r="S61" s="92"/>
      <c r="U61" s="92"/>
      <c r="V61" s="92"/>
    </row>
    <row r="62" spans="1:22" ht="17.25" x14ac:dyDescent="0.25">
      <c r="A62" s="11">
        <v>882</v>
      </c>
      <c r="B62" s="25" t="s">
        <v>57</v>
      </c>
      <c r="C62" s="12" t="s">
        <v>56</v>
      </c>
      <c r="D62" s="13">
        <v>25</v>
      </c>
      <c r="E62" s="43">
        <v>213.65</v>
      </c>
      <c r="F62" s="48"/>
      <c r="G62" s="21">
        <f t="shared" si="9"/>
        <v>0</v>
      </c>
      <c r="H62" s="59">
        <f>+E62*F62*(1-$B$11)</f>
        <v>0</v>
      </c>
      <c r="I62" s="92"/>
      <c r="J62" s="7"/>
      <c r="K62">
        <v>0</v>
      </c>
      <c r="R62" s="92"/>
      <c r="S62" s="92"/>
      <c r="U62" s="92"/>
      <c r="V62" s="92"/>
    </row>
    <row r="63" spans="1:22" ht="18" thickBot="1" x14ac:dyDescent="0.3">
      <c r="A63" s="19">
        <v>261</v>
      </c>
      <c r="B63" s="25" t="s">
        <v>58</v>
      </c>
      <c r="C63" s="12" t="s">
        <v>56</v>
      </c>
      <c r="D63" s="20">
        <v>10</v>
      </c>
      <c r="E63" s="43">
        <v>348</v>
      </c>
      <c r="F63" s="48"/>
      <c r="G63" s="21">
        <f t="shared" si="9"/>
        <v>0</v>
      </c>
      <c r="H63" s="59">
        <f t="shared" si="10"/>
        <v>0</v>
      </c>
      <c r="I63" s="92"/>
      <c r="J63" s="7"/>
      <c r="K63">
        <v>0</v>
      </c>
      <c r="R63" s="92"/>
      <c r="S63" s="92"/>
      <c r="U63" s="92"/>
      <c r="V63" s="92"/>
    </row>
    <row r="64" spans="1:22" ht="19.5" thickBot="1" x14ac:dyDescent="0.3">
      <c r="A64" s="174" t="s">
        <v>59</v>
      </c>
      <c r="B64" s="175"/>
      <c r="C64" s="125"/>
      <c r="D64" s="27"/>
      <c r="E64" s="27"/>
      <c r="F64" s="28"/>
      <c r="G64" s="29"/>
      <c r="H64" s="59"/>
      <c r="J64" s="7"/>
      <c r="K64">
        <v>0</v>
      </c>
      <c r="R64" s="92"/>
      <c r="S64" s="92"/>
      <c r="U64" s="92"/>
      <c r="V64" s="92"/>
    </row>
    <row r="65" spans="1:22" ht="17.25" x14ac:dyDescent="0.25">
      <c r="A65" s="19">
        <v>856</v>
      </c>
      <c r="B65" s="26" t="s">
        <v>60</v>
      </c>
      <c r="C65" s="12" t="s">
        <v>32</v>
      </c>
      <c r="D65" s="20">
        <v>25</v>
      </c>
      <c r="E65" s="43">
        <v>119.25</v>
      </c>
      <c r="F65" s="48"/>
      <c r="G65" s="21">
        <f>+(D65*F65)/1000</f>
        <v>0</v>
      </c>
      <c r="H65" s="59">
        <f>+E65*F65</f>
        <v>0</v>
      </c>
      <c r="I65" s="92"/>
      <c r="J65" s="7"/>
      <c r="K65">
        <v>0</v>
      </c>
      <c r="R65" s="92"/>
      <c r="S65" s="92"/>
      <c r="U65" s="92"/>
      <c r="V65" s="92"/>
    </row>
    <row r="66" spans="1:22" ht="18" thickBot="1" x14ac:dyDescent="0.3">
      <c r="A66" s="19">
        <v>838</v>
      </c>
      <c r="B66" s="26" t="s">
        <v>129</v>
      </c>
      <c r="C66" s="12" t="s">
        <v>56</v>
      </c>
      <c r="D66" s="20">
        <v>25</v>
      </c>
      <c r="E66" s="43">
        <v>126.25</v>
      </c>
      <c r="F66" s="48"/>
      <c r="G66" s="21">
        <f>+(D66*F66)/1000</f>
        <v>0</v>
      </c>
      <c r="H66" s="59">
        <f>+E66*F66</f>
        <v>0</v>
      </c>
      <c r="I66" s="92"/>
      <c r="J66" s="7"/>
      <c r="K66">
        <v>0</v>
      </c>
      <c r="R66" s="92"/>
      <c r="S66" s="92"/>
      <c r="U66" s="92"/>
      <c r="V66" s="92"/>
    </row>
    <row r="67" spans="1:22" ht="17.25" x14ac:dyDescent="0.25">
      <c r="A67" s="19">
        <v>845</v>
      </c>
      <c r="B67" s="26" t="s">
        <v>61</v>
      </c>
      <c r="C67" s="30" t="s">
        <v>56</v>
      </c>
      <c r="D67" s="20">
        <v>25</v>
      </c>
      <c r="E67" s="43">
        <v>128.25</v>
      </c>
      <c r="F67" s="48"/>
      <c r="G67" s="21">
        <f>+(D67*F67)/1000</f>
        <v>0</v>
      </c>
      <c r="H67" s="59">
        <f>+E67*F67</f>
        <v>0</v>
      </c>
      <c r="I67" s="150" t="s">
        <v>62</v>
      </c>
      <c r="J67" s="7"/>
      <c r="K67">
        <v>0</v>
      </c>
      <c r="R67" s="92"/>
      <c r="S67" s="92"/>
      <c r="U67" s="92"/>
      <c r="V67" s="92"/>
    </row>
    <row r="68" spans="1:22" ht="17.25" x14ac:dyDescent="0.25">
      <c r="A68" s="19">
        <v>52</v>
      </c>
      <c r="B68" s="26" t="s">
        <v>63</v>
      </c>
      <c r="C68" s="30" t="s">
        <v>56</v>
      </c>
      <c r="D68" s="20" t="s">
        <v>64</v>
      </c>
      <c r="E68" s="43">
        <v>5035</v>
      </c>
      <c r="F68" s="20" t="s">
        <v>65</v>
      </c>
      <c r="G68" s="55"/>
      <c r="H68" s="59">
        <f>+E68*G68</f>
        <v>0</v>
      </c>
      <c r="I68" s="151"/>
      <c r="J68" s="7"/>
      <c r="K68">
        <v>0</v>
      </c>
      <c r="R68" s="92"/>
      <c r="S68" s="92"/>
      <c r="U68" s="92"/>
      <c r="V68" s="92"/>
    </row>
    <row r="69" spans="1:22" ht="17.25" x14ac:dyDescent="0.25">
      <c r="A69" s="19">
        <v>846</v>
      </c>
      <c r="B69" s="26" t="s">
        <v>66</v>
      </c>
      <c r="C69" s="30" t="s">
        <v>56</v>
      </c>
      <c r="D69" s="20">
        <v>25</v>
      </c>
      <c r="E69" s="43">
        <v>127.375</v>
      </c>
      <c r="F69" s="48"/>
      <c r="G69" s="21">
        <f>+(D69*F69)/1000</f>
        <v>0</v>
      </c>
      <c r="H69" s="59">
        <f>+E69*F69</f>
        <v>0</v>
      </c>
      <c r="I69" s="151"/>
      <c r="J69" s="7"/>
      <c r="K69">
        <v>0</v>
      </c>
      <c r="R69" s="92"/>
      <c r="S69" s="92"/>
      <c r="U69" s="92"/>
      <c r="V69" s="92"/>
    </row>
    <row r="70" spans="1:22" ht="17.25" x14ac:dyDescent="0.25">
      <c r="A70" s="19">
        <v>69</v>
      </c>
      <c r="B70" s="26" t="s">
        <v>67</v>
      </c>
      <c r="C70" s="30" t="s">
        <v>56</v>
      </c>
      <c r="D70" s="20" t="s">
        <v>64</v>
      </c>
      <c r="E70" s="43">
        <v>5150</v>
      </c>
      <c r="F70" s="20" t="s">
        <v>65</v>
      </c>
      <c r="G70" s="55"/>
      <c r="H70" s="59">
        <f>+E70*G70</f>
        <v>0</v>
      </c>
      <c r="I70" s="151"/>
      <c r="J70" s="7"/>
      <c r="K70">
        <v>0</v>
      </c>
      <c r="R70" s="92"/>
      <c r="S70" s="92"/>
      <c r="U70" s="92"/>
      <c r="V70" s="92"/>
    </row>
    <row r="71" spans="1:22" ht="17.25" x14ac:dyDescent="0.25">
      <c r="A71" s="11">
        <v>863</v>
      </c>
      <c r="B71" s="26" t="s">
        <v>68</v>
      </c>
      <c r="C71" s="30" t="s">
        <v>56</v>
      </c>
      <c r="D71" s="20">
        <v>25</v>
      </c>
      <c r="E71" s="43">
        <v>144.875</v>
      </c>
      <c r="F71" s="48"/>
      <c r="G71" s="21">
        <f>+(D71*F71)/1000</f>
        <v>0</v>
      </c>
      <c r="H71" s="59">
        <f>+E71*F71</f>
        <v>0</v>
      </c>
      <c r="I71" s="93"/>
      <c r="J71" s="7"/>
      <c r="K71">
        <v>0</v>
      </c>
      <c r="R71" s="92"/>
      <c r="S71" s="92"/>
      <c r="U71" s="92"/>
      <c r="V71" s="92"/>
    </row>
    <row r="72" spans="1:22" ht="17.25" x14ac:dyDescent="0.25">
      <c r="A72" s="11">
        <v>793</v>
      </c>
      <c r="B72" s="12" t="s">
        <v>69</v>
      </c>
      <c r="C72" s="12" t="s">
        <v>32</v>
      </c>
      <c r="D72" s="13">
        <v>25</v>
      </c>
      <c r="E72" s="43">
        <v>224.63000000000002</v>
      </c>
      <c r="F72" s="52"/>
      <c r="G72" s="14">
        <f t="shared" ref="G72:G76" si="11">+(D72*F72)/1000</f>
        <v>0</v>
      </c>
      <c r="H72" s="59">
        <f>+E72*F72*(1-$B$10-$B$11)</f>
        <v>0</v>
      </c>
      <c r="I72" s="92"/>
      <c r="J72" s="7"/>
      <c r="K72">
        <v>0</v>
      </c>
      <c r="R72" s="92"/>
      <c r="S72" s="92"/>
      <c r="U72" s="92"/>
      <c r="V72" s="92"/>
    </row>
    <row r="73" spans="1:22" ht="17.25" x14ac:dyDescent="0.25">
      <c r="A73" s="19">
        <v>791</v>
      </c>
      <c r="B73" s="12" t="s">
        <v>70</v>
      </c>
      <c r="C73" s="12" t="s">
        <v>32</v>
      </c>
      <c r="D73" s="20">
        <v>25</v>
      </c>
      <c r="E73" s="43">
        <v>209.625</v>
      </c>
      <c r="F73" s="48"/>
      <c r="G73" s="21">
        <f t="shared" si="11"/>
        <v>0</v>
      </c>
      <c r="H73" s="59">
        <f>+E73*F73*(1-$B$10-$B$11)</f>
        <v>0</v>
      </c>
      <c r="I73" s="92"/>
      <c r="J73" s="7"/>
      <c r="K73">
        <v>0</v>
      </c>
      <c r="R73" s="92"/>
      <c r="S73" s="92"/>
      <c r="U73" s="92"/>
      <c r="V73" s="92"/>
    </row>
    <row r="74" spans="1:22" ht="17.25" x14ac:dyDescent="0.25">
      <c r="A74" s="19">
        <v>794</v>
      </c>
      <c r="B74" s="12" t="s">
        <v>71</v>
      </c>
      <c r="C74" s="30" t="s">
        <v>53</v>
      </c>
      <c r="D74" s="20">
        <v>25</v>
      </c>
      <c r="E74" s="43">
        <v>209.375</v>
      </c>
      <c r="F74" s="48"/>
      <c r="G74" s="21">
        <f t="shared" si="11"/>
        <v>0</v>
      </c>
      <c r="H74" s="59">
        <f>+E74*F74*(1-$B$10-$B$11)</f>
        <v>0</v>
      </c>
      <c r="I74" s="92"/>
      <c r="J74" s="7"/>
      <c r="K74">
        <v>0</v>
      </c>
      <c r="R74" s="92"/>
      <c r="S74" s="92"/>
      <c r="U74" s="92"/>
      <c r="V74" s="92"/>
    </row>
    <row r="75" spans="1:22" ht="17.25" x14ac:dyDescent="0.25">
      <c r="A75" s="19">
        <v>792</v>
      </c>
      <c r="B75" s="25" t="s">
        <v>72</v>
      </c>
      <c r="C75" s="12" t="s">
        <v>32</v>
      </c>
      <c r="D75" s="20">
        <v>25</v>
      </c>
      <c r="E75" s="43">
        <v>191.5</v>
      </c>
      <c r="F75" s="48"/>
      <c r="G75" s="21">
        <f t="shared" si="11"/>
        <v>0</v>
      </c>
      <c r="H75" s="59">
        <f>+E75*F75*(1-$B$11)</f>
        <v>0</v>
      </c>
      <c r="I75" s="92"/>
      <c r="J75" s="7"/>
      <c r="K75">
        <v>0</v>
      </c>
      <c r="R75" s="92"/>
      <c r="S75" s="92"/>
      <c r="U75" s="92"/>
      <c r="V75" s="92"/>
    </row>
    <row r="76" spans="1:22" ht="17.25" x14ac:dyDescent="0.25">
      <c r="A76" s="16">
        <v>795</v>
      </c>
      <c r="B76" s="87" t="s">
        <v>73</v>
      </c>
      <c r="C76" s="32" t="s">
        <v>53</v>
      </c>
      <c r="D76" s="17">
        <v>25</v>
      </c>
      <c r="E76" s="43">
        <v>200.255</v>
      </c>
      <c r="F76" s="53">
        <v>20</v>
      </c>
      <c r="G76" s="18">
        <f t="shared" si="11"/>
        <v>0.5</v>
      </c>
      <c r="H76" s="59">
        <f>+E76*F76*(1-$B$11)</f>
        <v>3884.9469999999997</v>
      </c>
      <c r="I76" s="92"/>
      <c r="J76" s="7"/>
      <c r="K76">
        <v>0</v>
      </c>
      <c r="R76" s="92"/>
      <c r="S76" s="92"/>
      <c r="U76" s="92"/>
      <c r="V76" s="92"/>
    </row>
    <row r="77" spans="1:22" ht="18.75" x14ac:dyDescent="0.25">
      <c r="A77" s="184" t="s">
        <v>130</v>
      </c>
      <c r="B77" s="185"/>
      <c r="C77" s="111"/>
      <c r="D77" s="111"/>
      <c r="E77" s="112"/>
      <c r="F77" s="113"/>
      <c r="G77" s="114"/>
      <c r="H77" s="59"/>
      <c r="J77" s="7"/>
      <c r="K77">
        <v>0</v>
      </c>
      <c r="R77" s="92"/>
      <c r="S77" s="92"/>
      <c r="U77" s="92"/>
      <c r="V77" s="92"/>
    </row>
    <row r="78" spans="1:22" ht="17.25" x14ac:dyDescent="0.25">
      <c r="A78" s="19">
        <v>891</v>
      </c>
      <c r="B78" s="12" t="s">
        <v>131</v>
      </c>
      <c r="C78" s="30" t="s">
        <v>56</v>
      </c>
      <c r="D78" s="20">
        <v>25</v>
      </c>
      <c r="E78" s="43">
        <v>371.25</v>
      </c>
      <c r="F78" s="48"/>
      <c r="G78" s="21">
        <f t="shared" ref="G78:G79" si="12">+(D78*F78)/1000</f>
        <v>0</v>
      </c>
      <c r="H78" s="59">
        <f>+E78*F78*(1-$B$10-$B$11)</f>
        <v>0</v>
      </c>
      <c r="J78" s="7"/>
      <c r="K78">
        <v>0</v>
      </c>
      <c r="R78" s="92"/>
      <c r="S78" s="92"/>
      <c r="U78" s="92"/>
      <c r="V78" s="92"/>
    </row>
    <row r="79" spans="1:22" ht="17.25" x14ac:dyDescent="0.25">
      <c r="A79" s="19">
        <v>878</v>
      </c>
      <c r="B79" s="133" t="s">
        <v>141</v>
      </c>
      <c r="C79" s="30" t="s">
        <v>32</v>
      </c>
      <c r="D79" s="20">
        <v>25</v>
      </c>
      <c r="E79" s="43">
        <v>293.66000000000003</v>
      </c>
      <c r="F79" s="48"/>
      <c r="G79" s="21">
        <f t="shared" si="12"/>
        <v>0</v>
      </c>
      <c r="H79" s="59">
        <f>+E79*F79*(1-$B$11)</f>
        <v>0</v>
      </c>
      <c r="J79" s="7"/>
      <c r="R79" s="92"/>
      <c r="S79" s="92"/>
      <c r="U79" s="92"/>
      <c r="V79" s="92"/>
    </row>
    <row r="80" spans="1:22" ht="18.75" x14ac:dyDescent="0.25">
      <c r="A80" s="164" t="s">
        <v>74</v>
      </c>
      <c r="B80" s="165"/>
      <c r="C80" s="122"/>
      <c r="D80" s="122"/>
      <c r="E80" s="122"/>
      <c r="F80" s="88"/>
      <c r="G80" s="95"/>
      <c r="H80" s="59"/>
      <c r="J80" s="7"/>
      <c r="K80">
        <v>0</v>
      </c>
      <c r="R80" s="92"/>
      <c r="S80" s="92"/>
      <c r="U80" s="92"/>
      <c r="V80" s="92"/>
    </row>
    <row r="81" spans="1:22" ht="17.25" x14ac:dyDescent="0.25">
      <c r="A81" s="11">
        <v>836</v>
      </c>
      <c r="B81" s="12" t="s">
        <v>75</v>
      </c>
      <c r="C81" s="12" t="s">
        <v>32</v>
      </c>
      <c r="D81" s="13">
        <v>25</v>
      </c>
      <c r="E81" s="43">
        <v>217.75</v>
      </c>
      <c r="F81" s="52"/>
      <c r="G81" s="14">
        <f>+(D81*F81)/1000</f>
        <v>0</v>
      </c>
      <c r="H81" s="59">
        <f>+E81*F81*(1-$B$10-$B$11)</f>
        <v>0</v>
      </c>
      <c r="I81" s="92"/>
      <c r="J81" s="7"/>
      <c r="K81">
        <v>0</v>
      </c>
      <c r="R81" s="92"/>
      <c r="S81" s="92"/>
      <c r="U81" s="92"/>
      <c r="V81" s="92"/>
    </row>
    <row r="82" spans="1:22" ht="18" thickBot="1" x14ac:dyDescent="0.3">
      <c r="A82" s="19">
        <v>833</v>
      </c>
      <c r="B82" s="30" t="s">
        <v>76</v>
      </c>
      <c r="C82" s="30" t="s">
        <v>32</v>
      </c>
      <c r="D82" s="17">
        <v>25</v>
      </c>
      <c r="E82" s="43">
        <v>207.13000000000002</v>
      </c>
      <c r="F82" s="53">
        <v>6</v>
      </c>
      <c r="G82" s="18">
        <f>+(D82*F82)/1000</f>
        <v>0.15</v>
      </c>
      <c r="H82" s="59">
        <f>+E82*F82*(1-$B$10-$B$11)</f>
        <v>1155.7854000000002</v>
      </c>
      <c r="I82" s="92"/>
      <c r="J82" s="7"/>
      <c r="K82">
        <v>0</v>
      </c>
      <c r="R82" s="92"/>
      <c r="S82" s="92"/>
      <c r="U82" s="92"/>
      <c r="V82" s="92"/>
    </row>
    <row r="83" spans="1:22" ht="18.75" x14ac:dyDescent="0.25">
      <c r="A83" s="178" t="s">
        <v>77</v>
      </c>
      <c r="B83" s="179"/>
      <c r="C83" s="126"/>
      <c r="D83" s="89"/>
      <c r="E83" s="89"/>
      <c r="F83" s="90"/>
      <c r="G83" s="91"/>
      <c r="H83" s="59"/>
      <c r="J83" s="7"/>
      <c r="K83">
        <v>0</v>
      </c>
      <c r="R83" s="92"/>
      <c r="S83" s="92"/>
      <c r="U83" s="92"/>
      <c r="V83" s="92"/>
    </row>
    <row r="84" spans="1:22" ht="17.25" x14ac:dyDescent="0.25">
      <c r="A84" s="19">
        <v>776</v>
      </c>
      <c r="B84" s="30" t="s">
        <v>78</v>
      </c>
      <c r="C84" s="30" t="s">
        <v>53</v>
      </c>
      <c r="D84" s="20">
        <v>25</v>
      </c>
      <c r="E84" s="43">
        <v>223.63000000000002</v>
      </c>
      <c r="F84" s="48">
        <v>2</v>
      </c>
      <c r="G84" s="21">
        <f t="shared" ref="G84:G90" si="13">+(D84*F84)/1000</f>
        <v>0.05</v>
      </c>
      <c r="H84" s="59">
        <f t="shared" ref="H84:H90" si="14">+E84*F84*(1-$B$10-$B$11)</f>
        <v>415.95179999999999</v>
      </c>
      <c r="I84" s="92"/>
      <c r="J84" s="7"/>
      <c r="K84">
        <v>0</v>
      </c>
      <c r="R84" s="92"/>
      <c r="S84" s="92"/>
      <c r="U84" s="92"/>
      <c r="V84" s="92"/>
    </row>
    <row r="85" spans="1:22" ht="17.25" x14ac:dyDescent="0.25">
      <c r="A85" s="19">
        <v>778</v>
      </c>
      <c r="B85" s="30" t="s">
        <v>79</v>
      </c>
      <c r="C85" s="30" t="s">
        <v>53</v>
      </c>
      <c r="D85" s="20">
        <v>25</v>
      </c>
      <c r="E85" s="43">
        <v>252.75500000000002</v>
      </c>
      <c r="F85" s="48"/>
      <c r="G85" s="21">
        <f t="shared" si="13"/>
        <v>0</v>
      </c>
      <c r="H85" s="59">
        <f t="shared" si="14"/>
        <v>0</v>
      </c>
      <c r="I85" s="92"/>
      <c r="J85" s="7"/>
      <c r="K85">
        <v>0</v>
      </c>
      <c r="L85">
        <v>778</v>
      </c>
      <c r="M85" s="104">
        <v>254.63</v>
      </c>
      <c r="N85" s="115">
        <f t="shared" ref="N85:N88" si="15">+M85*40</f>
        <v>10185.200000000001</v>
      </c>
      <c r="O85" s="115">
        <v>10185</v>
      </c>
      <c r="P85" s="116">
        <f t="shared" ref="P85:P86" si="16">+O85-N85</f>
        <v>-0.2000000000007276</v>
      </c>
      <c r="R85" s="92"/>
      <c r="S85" s="92"/>
      <c r="U85" s="92"/>
      <c r="V85" s="92"/>
    </row>
    <row r="86" spans="1:22" ht="17.25" x14ac:dyDescent="0.25">
      <c r="A86" s="19">
        <v>780</v>
      </c>
      <c r="B86" s="30" t="s">
        <v>80</v>
      </c>
      <c r="C86" s="30" t="s">
        <v>53</v>
      </c>
      <c r="D86" s="20">
        <v>25</v>
      </c>
      <c r="E86" s="43">
        <v>272.75</v>
      </c>
      <c r="F86" s="48"/>
      <c r="G86" s="21">
        <f t="shared" si="13"/>
        <v>0</v>
      </c>
      <c r="H86" s="59">
        <f t="shared" si="14"/>
        <v>0</v>
      </c>
      <c r="I86" s="92"/>
      <c r="J86" s="7"/>
      <c r="K86">
        <v>0</v>
      </c>
      <c r="L86">
        <v>780</v>
      </c>
      <c r="M86" s="115">
        <v>274</v>
      </c>
      <c r="N86" s="115">
        <f t="shared" si="15"/>
        <v>10960</v>
      </c>
      <c r="O86" s="115">
        <v>10960</v>
      </c>
      <c r="P86" s="116">
        <f t="shared" si="16"/>
        <v>0</v>
      </c>
      <c r="R86" s="92"/>
      <c r="S86" s="92"/>
      <c r="U86" s="92"/>
      <c r="V86" s="92"/>
    </row>
    <row r="87" spans="1:22" ht="17.25" x14ac:dyDescent="0.25">
      <c r="A87" s="19">
        <v>775</v>
      </c>
      <c r="B87" s="30" t="s">
        <v>81</v>
      </c>
      <c r="C87" s="30" t="s">
        <v>32</v>
      </c>
      <c r="D87" s="20">
        <v>25</v>
      </c>
      <c r="E87" s="43">
        <v>201.75</v>
      </c>
      <c r="F87" s="48"/>
      <c r="G87" s="21">
        <f t="shared" si="13"/>
        <v>0</v>
      </c>
      <c r="H87" s="59">
        <f t="shared" si="14"/>
        <v>0</v>
      </c>
      <c r="I87" s="92"/>
      <c r="J87" s="7"/>
      <c r="K87">
        <v>0</v>
      </c>
      <c r="R87" s="92"/>
      <c r="S87" s="92"/>
      <c r="U87" s="92"/>
      <c r="V87" s="92"/>
    </row>
    <row r="88" spans="1:22" ht="17.25" x14ac:dyDescent="0.25">
      <c r="A88" s="19">
        <v>777</v>
      </c>
      <c r="B88" s="30" t="s">
        <v>82</v>
      </c>
      <c r="C88" s="30" t="s">
        <v>32</v>
      </c>
      <c r="D88" s="20">
        <v>25</v>
      </c>
      <c r="E88" s="43">
        <v>217.125</v>
      </c>
      <c r="F88" s="48"/>
      <c r="G88" s="21">
        <f t="shared" si="13"/>
        <v>0</v>
      </c>
      <c r="H88" s="59">
        <f t="shared" si="14"/>
        <v>0</v>
      </c>
      <c r="I88" s="92"/>
      <c r="J88" s="7"/>
      <c r="K88">
        <v>0</v>
      </c>
      <c r="L88">
        <v>777</v>
      </c>
      <c r="M88" s="115">
        <v>220.25</v>
      </c>
      <c r="N88" s="115">
        <f t="shared" si="15"/>
        <v>8810</v>
      </c>
      <c r="O88" s="115">
        <v>8810</v>
      </c>
      <c r="P88" s="116">
        <f t="shared" ref="P88" si="17">+O88-N88</f>
        <v>0</v>
      </c>
      <c r="R88" s="92"/>
      <c r="S88" s="92"/>
      <c r="U88" s="92"/>
      <c r="V88" s="92"/>
    </row>
    <row r="89" spans="1:22" ht="17.25" x14ac:dyDescent="0.25">
      <c r="A89" s="19">
        <v>779</v>
      </c>
      <c r="B89" s="30" t="s">
        <v>83</v>
      </c>
      <c r="C89" s="30" t="s">
        <v>32</v>
      </c>
      <c r="D89" s="20">
        <v>25</v>
      </c>
      <c r="E89" s="43">
        <v>234</v>
      </c>
      <c r="F89" s="48"/>
      <c r="G89" s="21">
        <f t="shared" si="13"/>
        <v>0</v>
      </c>
      <c r="H89" s="59">
        <f t="shared" si="14"/>
        <v>0</v>
      </c>
      <c r="I89" s="92"/>
      <c r="J89" s="7"/>
      <c r="K89">
        <v>0</v>
      </c>
      <c r="R89" s="92"/>
      <c r="S89" s="92"/>
      <c r="U89" s="92"/>
      <c r="V89" s="92"/>
    </row>
    <row r="90" spans="1:22" ht="17.25" x14ac:dyDescent="0.25">
      <c r="A90" s="19">
        <v>782</v>
      </c>
      <c r="B90" s="30" t="s">
        <v>84</v>
      </c>
      <c r="C90" s="30" t="s">
        <v>32</v>
      </c>
      <c r="D90" s="20">
        <v>25</v>
      </c>
      <c r="E90" s="43">
        <v>240.25</v>
      </c>
      <c r="F90" s="48"/>
      <c r="G90" s="21">
        <f t="shared" si="13"/>
        <v>0</v>
      </c>
      <c r="H90" s="59">
        <f t="shared" si="14"/>
        <v>0</v>
      </c>
      <c r="I90" s="92"/>
      <c r="J90" s="7"/>
      <c r="K90">
        <v>0</v>
      </c>
      <c r="L90">
        <v>782</v>
      </c>
      <c r="M90" s="115">
        <v>241.5</v>
      </c>
      <c r="N90" s="115">
        <f t="shared" ref="N90:N94" si="18">+M90*40</f>
        <v>9660</v>
      </c>
      <c r="O90" s="115">
        <v>9660</v>
      </c>
      <c r="P90" s="116">
        <f>+O90-N90</f>
        <v>0</v>
      </c>
      <c r="R90" s="92"/>
      <c r="S90" s="92"/>
      <c r="U90" s="92"/>
      <c r="V90" s="92"/>
    </row>
    <row r="91" spans="1:22" ht="18.75" x14ac:dyDescent="0.25">
      <c r="A91" s="180" t="s">
        <v>85</v>
      </c>
      <c r="B91" s="181"/>
      <c r="C91" s="127"/>
      <c r="D91" s="127"/>
      <c r="E91" s="127"/>
      <c r="F91" s="80"/>
      <c r="G91" s="96"/>
      <c r="H91" s="59"/>
      <c r="J91" s="7"/>
      <c r="K91">
        <v>0</v>
      </c>
      <c r="M91" s="115"/>
      <c r="N91" s="115"/>
      <c r="O91" s="115"/>
      <c r="R91" s="92"/>
      <c r="S91" s="92"/>
      <c r="U91" s="92"/>
      <c r="V91" s="92"/>
    </row>
    <row r="92" spans="1:22" ht="17.25" x14ac:dyDescent="0.25">
      <c r="A92" s="11">
        <v>801</v>
      </c>
      <c r="B92" s="12" t="s">
        <v>86</v>
      </c>
      <c r="C92" s="12" t="s">
        <v>32</v>
      </c>
      <c r="D92" s="13">
        <v>25</v>
      </c>
      <c r="E92" s="43">
        <v>246.13000000000002</v>
      </c>
      <c r="F92" s="52"/>
      <c r="G92" s="14">
        <f>+(D92*F92)/1000</f>
        <v>0</v>
      </c>
      <c r="H92" s="59">
        <f>+E92*F92*(1-$B$10-$B$11)</f>
        <v>0</v>
      </c>
      <c r="I92" s="92"/>
      <c r="J92" s="7"/>
      <c r="K92">
        <v>0</v>
      </c>
      <c r="L92">
        <v>801</v>
      </c>
      <c r="M92" s="115">
        <v>241.13</v>
      </c>
      <c r="N92" s="115">
        <f t="shared" si="18"/>
        <v>9645.2000000000007</v>
      </c>
      <c r="O92" s="115">
        <v>9645</v>
      </c>
      <c r="P92" s="116">
        <f t="shared" ref="P92:P94" si="19">+O92-N92</f>
        <v>-0.2000000000007276</v>
      </c>
      <c r="R92" s="92"/>
      <c r="S92" s="92"/>
      <c r="U92" s="92"/>
      <c r="V92" s="92"/>
    </row>
    <row r="93" spans="1:22" ht="17.25" x14ac:dyDescent="0.25">
      <c r="A93" s="19">
        <v>804</v>
      </c>
      <c r="B93" s="12" t="s">
        <v>87</v>
      </c>
      <c r="C93" s="12" t="s">
        <v>32</v>
      </c>
      <c r="D93" s="13">
        <v>25</v>
      </c>
      <c r="E93" s="43">
        <v>254.88000000000002</v>
      </c>
      <c r="F93" s="53"/>
      <c r="G93" s="21">
        <f>+(D93*F93)/1000</f>
        <v>0</v>
      </c>
      <c r="H93" s="59">
        <f>+E93*F93*(1-$B$10-$B$11)</f>
        <v>0</v>
      </c>
      <c r="I93" s="92"/>
      <c r="J93" s="7"/>
      <c r="K93">
        <v>0</v>
      </c>
      <c r="L93">
        <v>804</v>
      </c>
      <c r="M93" s="115">
        <v>251.13</v>
      </c>
      <c r="N93" s="115">
        <f t="shared" si="18"/>
        <v>10045.200000000001</v>
      </c>
      <c r="O93" s="115">
        <v>10045</v>
      </c>
      <c r="P93" s="116">
        <f t="shared" si="19"/>
        <v>-0.2000000000007276</v>
      </c>
      <c r="R93" s="92"/>
      <c r="S93" s="92"/>
      <c r="U93" s="92"/>
      <c r="V93" s="92"/>
    </row>
    <row r="94" spans="1:22" ht="17.25" x14ac:dyDescent="0.25">
      <c r="A94" s="16">
        <v>805</v>
      </c>
      <c r="B94" s="70" t="s">
        <v>88</v>
      </c>
      <c r="C94" s="30" t="s">
        <v>32</v>
      </c>
      <c r="D94" s="94">
        <v>25</v>
      </c>
      <c r="E94" s="43">
        <v>258.63</v>
      </c>
      <c r="F94" s="53"/>
      <c r="G94" s="18">
        <f>+(D94*F94)/1000</f>
        <v>0</v>
      </c>
      <c r="H94" s="59">
        <f>+E94*F94*(1-$B$10-$B$11)</f>
        <v>0</v>
      </c>
      <c r="I94" s="92"/>
      <c r="J94" s="7"/>
      <c r="K94">
        <v>0</v>
      </c>
      <c r="L94">
        <v>805</v>
      </c>
      <c r="M94" s="115">
        <v>256.13</v>
      </c>
      <c r="N94" s="115">
        <f t="shared" si="18"/>
        <v>10245.200000000001</v>
      </c>
      <c r="O94" s="115">
        <v>10245</v>
      </c>
      <c r="P94" s="116">
        <f t="shared" si="19"/>
        <v>-0.2000000000007276</v>
      </c>
      <c r="R94" s="92"/>
      <c r="S94" s="92"/>
      <c r="U94" s="92"/>
      <c r="V94" s="92"/>
    </row>
    <row r="95" spans="1:22" ht="17.25" x14ac:dyDescent="0.25">
      <c r="A95" s="19">
        <v>806</v>
      </c>
      <c r="B95" s="30" t="s">
        <v>89</v>
      </c>
      <c r="C95" s="30" t="s">
        <v>32</v>
      </c>
      <c r="D95" s="20">
        <v>25</v>
      </c>
      <c r="E95" s="43">
        <v>292.14</v>
      </c>
      <c r="F95" s="53"/>
      <c r="G95" s="18">
        <f>+(D95*F95)/1000</f>
        <v>0</v>
      </c>
      <c r="H95" s="59">
        <f>+E95*F95*(1-$B$10-$B$11)</f>
        <v>0</v>
      </c>
      <c r="I95" s="92"/>
      <c r="J95" s="7"/>
      <c r="K95">
        <v>0</v>
      </c>
      <c r="R95" s="92"/>
      <c r="S95" s="92"/>
      <c r="U95" s="92"/>
      <c r="V95" s="92"/>
    </row>
    <row r="96" spans="1:22" ht="18.75" x14ac:dyDescent="0.25">
      <c r="A96" s="166" t="s">
        <v>90</v>
      </c>
      <c r="B96" s="167"/>
      <c r="C96" s="81"/>
      <c r="D96" s="81"/>
      <c r="E96" s="81"/>
      <c r="F96" s="82"/>
      <c r="G96" s="97"/>
      <c r="H96" s="59"/>
      <c r="J96" s="7"/>
      <c r="K96">
        <v>0</v>
      </c>
      <c r="R96" s="92"/>
      <c r="S96" s="92"/>
      <c r="U96" s="92"/>
      <c r="V96" s="92"/>
    </row>
    <row r="97" spans="1:26" ht="17.25" x14ac:dyDescent="0.25">
      <c r="A97" s="11">
        <v>91</v>
      </c>
      <c r="B97" s="12" t="s">
        <v>91</v>
      </c>
      <c r="C97" s="12" t="s">
        <v>32</v>
      </c>
      <c r="D97" s="13">
        <v>5</v>
      </c>
      <c r="E97" s="43">
        <v>70.084999999999994</v>
      </c>
      <c r="F97" s="52"/>
      <c r="G97" s="21">
        <f t="shared" ref="G97:G111" si="20">+(D97*F97)/1000</f>
        <v>0</v>
      </c>
      <c r="H97" s="59">
        <f t="shared" ref="H97:H110" si="21">+E97*F97*(1-$B$10-$B$11)</f>
        <v>0</v>
      </c>
      <c r="I97" s="92"/>
      <c r="J97" s="7"/>
      <c r="K97">
        <v>0</v>
      </c>
      <c r="R97" s="92"/>
      <c r="S97" s="92"/>
      <c r="U97" s="92"/>
      <c r="V97" s="92"/>
    </row>
    <row r="98" spans="1:26" ht="17.25" x14ac:dyDescent="0.25">
      <c r="A98" s="11">
        <v>140</v>
      </c>
      <c r="B98" s="12" t="s">
        <v>91</v>
      </c>
      <c r="C98" s="12" t="s">
        <v>32</v>
      </c>
      <c r="D98" s="13">
        <v>25</v>
      </c>
      <c r="E98" s="43">
        <v>326.78500000000003</v>
      </c>
      <c r="F98" s="52">
        <v>10</v>
      </c>
      <c r="G98" s="21">
        <f t="shared" ref="G98" si="22">+(D98*F98)/1000</f>
        <v>0.25</v>
      </c>
      <c r="H98" s="59">
        <f t="shared" ref="H98" si="23">+E98*F98*(1-$B$10-$B$11)</f>
        <v>3039.1005</v>
      </c>
      <c r="I98" s="92"/>
      <c r="J98" s="7"/>
      <c r="K98">
        <v>0</v>
      </c>
      <c r="R98" s="92"/>
      <c r="S98" s="92"/>
      <c r="U98" s="92"/>
      <c r="V98" s="92"/>
    </row>
    <row r="99" spans="1:26" ht="17.25" x14ac:dyDescent="0.25">
      <c r="A99" s="11">
        <v>132</v>
      </c>
      <c r="B99" s="12" t="s">
        <v>92</v>
      </c>
      <c r="C99" s="12" t="s">
        <v>32</v>
      </c>
      <c r="D99" s="13">
        <v>5</v>
      </c>
      <c r="E99" s="43">
        <v>52.62</v>
      </c>
      <c r="F99" s="52"/>
      <c r="G99" s="21">
        <f t="shared" ref="G99" si="24">+(D99*F99)/1000</f>
        <v>0</v>
      </c>
      <c r="H99" s="59">
        <f t="shared" ref="H99" si="25">+E99*F99*(1-$B$10-$B$11)</f>
        <v>0</v>
      </c>
      <c r="I99" s="92"/>
      <c r="J99" s="7"/>
      <c r="K99">
        <v>0</v>
      </c>
      <c r="R99" s="92"/>
      <c r="S99" s="92"/>
      <c r="U99" s="92"/>
      <c r="V99" s="92"/>
    </row>
    <row r="100" spans="1:26" ht="17.25" x14ac:dyDescent="0.25">
      <c r="A100" s="11">
        <v>521</v>
      </c>
      <c r="B100" s="12" t="s">
        <v>92</v>
      </c>
      <c r="C100" s="12" t="s">
        <v>32</v>
      </c>
      <c r="D100" s="13">
        <v>25</v>
      </c>
      <c r="E100" s="43">
        <v>244.47999999999996</v>
      </c>
      <c r="F100" s="52"/>
      <c r="G100" s="21">
        <f t="shared" ref="G100" si="26">+(D100*F100)/1000</f>
        <v>0</v>
      </c>
      <c r="H100" s="59">
        <f t="shared" ref="H100" si="27">+E100*F100*(1-$B$10-$B$11)</f>
        <v>0</v>
      </c>
      <c r="I100" s="92"/>
      <c r="J100" s="7"/>
      <c r="K100">
        <v>0</v>
      </c>
      <c r="R100" s="92"/>
      <c r="S100" s="92"/>
      <c r="U100" s="92"/>
      <c r="V100" s="92"/>
      <c r="Z100" s="134"/>
    </row>
    <row r="101" spans="1:26" ht="17.25" x14ac:dyDescent="0.25">
      <c r="A101" s="11">
        <v>760</v>
      </c>
      <c r="B101" s="12" t="s">
        <v>93</v>
      </c>
      <c r="C101" s="12" t="s">
        <v>32</v>
      </c>
      <c r="D101" s="13">
        <v>25</v>
      </c>
      <c r="E101" s="43">
        <v>230.50500000000002</v>
      </c>
      <c r="F101" s="52"/>
      <c r="G101" s="21">
        <f t="shared" ref="G101:G104" si="28">+(D101*F101)/1000</f>
        <v>0</v>
      </c>
      <c r="H101" s="59">
        <f t="shared" ref="H101:H104" si="29">+E101*F101*(1-$B$10-$B$11)</f>
        <v>0</v>
      </c>
      <c r="I101" s="92"/>
      <c r="J101" s="7"/>
      <c r="K101">
        <v>0</v>
      </c>
      <c r="L101">
        <v>760</v>
      </c>
      <c r="M101" s="115">
        <v>234.88</v>
      </c>
      <c r="N101" s="115">
        <f t="shared" ref="N101:N104" si="30">+M101*40</f>
        <v>9395.2000000000007</v>
      </c>
      <c r="O101" s="115">
        <v>9395</v>
      </c>
      <c r="P101" s="116">
        <f t="shared" ref="P101:P104" si="31">+O101-N101</f>
        <v>-0.2000000000007276</v>
      </c>
      <c r="R101" s="92"/>
      <c r="S101" s="92"/>
      <c r="U101" s="92"/>
      <c r="V101" s="92"/>
    </row>
    <row r="102" spans="1:26" ht="17.25" x14ac:dyDescent="0.25">
      <c r="A102" s="11">
        <v>758</v>
      </c>
      <c r="B102" s="12" t="s">
        <v>94</v>
      </c>
      <c r="C102" s="12" t="s">
        <v>32</v>
      </c>
      <c r="D102" s="13">
        <v>25</v>
      </c>
      <c r="E102" s="43">
        <v>251.75500000000002</v>
      </c>
      <c r="F102" s="52"/>
      <c r="G102" s="21">
        <f t="shared" si="28"/>
        <v>0</v>
      </c>
      <c r="H102" s="59">
        <f t="shared" si="29"/>
        <v>0</v>
      </c>
      <c r="I102" s="92"/>
      <c r="J102" s="7"/>
      <c r="K102">
        <v>0</v>
      </c>
      <c r="L102">
        <v>758</v>
      </c>
      <c r="M102" s="115">
        <v>256.13</v>
      </c>
      <c r="N102" s="115">
        <f t="shared" si="30"/>
        <v>10245.200000000001</v>
      </c>
      <c r="O102" s="115">
        <v>10245</v>
      </c>
      <c r="P102" s="116">
        <f t="shared" si="31"/>
        <v>-0.2000000000007276</v>
      </c>
      <c r="R102" s="92"/>
      <c r="S102" s="92"/>
      <c r="U102" s="92"/>
      <c r="V102" s="92"/>
    </row>
    <row r="103" spans="1:26" ht="17.25" x14ac:dyDescent="0.25">
      <c r="A103" s="11">
        <v>759</v>
      </c>
      <c r="B103" s="12" t="s">
        <v>95</v>
      </c>
      <c r="C103" s="12" t="s">
        <v>32</v>
      </c>
      <c r="D103" s="13">
        <v>25</v>
      </c>
      <c r="E103" s="43">
        <v>243.00500000000002</v>
      </c>
      <c r="F103" s="52"/>
      <c r="G103" s="21">
        <f t="shared" si="28"/>
        <v>0</v>
      </c>
      <c r="H103" s="59">
        <f t="shared" si="29"/>
        <v>0</v>
      </c>
      <c r="I103" s="92"/>
      <c r="J103" s="7"/>
      <c r="K103">
        <v>0</v>
      </c>
      <c r="L103">
        <v>759</v>
      </c>
      <c r="M103" s="115">
        <v>247.38</v>
      </c>
      <c r="N103" s="115">
        <f t="shared" si="30"/>
        <v>9895.2000000000007</v>
      </c>
      <c r="O103" s="115">
        <v>9895</v>
      </c>
      <c r="P103" s="116">
        <f t="shared" si="31"/>
        <v>-0.2000000000007276</v>
      </c>
      <c r="R103" s="92"/>
      <c r="S103" s="92"/>
      <c r="U103" s="92"/>
      <c r="V103" s="92"/>
    </row>
    <row r="104" spans="1:26" ht="17.25" x14ac:dyDescent="0.25">
      <c r="A104" s="11">
        <v>761</v>
      </c>
      <c r="B104" s="12" t="s">
        <v>96</v>
      </c>
      <c r="C104" s="12" t="s">
        <v>32</v>
      </c>
      <c r="D104" s="13">
        <v>25</v>
      </c>
      <c r="E104" s="43">
        <v>243.625</v>
      </c>
      <c r="F104" s="52"/>
      <c r="G104" s="21">
        <f t="shared" si="28"/>
        <v>0</v>
      </c>
      <c r="H104" s="59">
        <f t="shared" si="29"/>
        <v>0</v>
      </c>
      <c r="I104" s="92"/>
      <c r="J104" s="7"/>
      <c r="K104">
        <v>0</v>
      </c>
      <c r="L104">
        <v>761</v>
      </c>
      <c r="M104" s="115">
        <v>248</v>
      </c>
      <c r="N104" s="115">
        <f t="shared" si="30"/>
        <v>9920</v>
      </c>
      <c r="O104" s="115">
        <v>9920</v>
      </c>
      <c r="P104" s="116">
        <f t="shared" si="31"/>
        <v>0</v>
      </c>
      <c r="R104" s="92"/>
      <c r="S104" s="92"/>
      <c r="U104" s="92"/>
      <c r="V104" s="92"/>
    </row>
    <row r="105" spans="1:26" ht="17.25" x14ac:dyDescent="0.25">
      <c r="A105" s="11">
        <v>765</v>
      </c>
      <c r="B105" s="12" t="s">
        <v>98</v>
      </c>
      <c r="C105" s="12" t="s">
        <v>32</v>
      </c>
      <c r="D105" s="13">
        <v>25</v>
      </c>
      <c r="E105" s="43">
        <v>251.50500000000002</v>
      </c>
      <c r="F105" s="52"/>
      <c r="G105" s="21">
        <f t="shared" si="20"/>
        <v>0</v>
      </c>
      <c r="H105" s="59">
        <f t="shared" si="21"/>
        <v>0</v>
      </c>
      <c r="I105" s="92"/>
      <c r="J105" s="7"/>
      <c r="K105">
        <v>0</v>
      </c>
      <c r="L105">
        <v>765</v>
      </c>
      <c r="M105" s="115">
        <v>255.88</v>
      </c>
      <c r="N105" s="115">
        <f t="shared" ref="N105:N108" si="32">+M105*40</f>
        <v>10235.200000000001</v>
      </c>
      <c r="O105" s="115">
        <v>10235</v>
      </c>
      <c r="P105" s="116">
        <f t="shared" ref="P105:P108" si="33">+O105-N105</f>
        <v>-0.2000000000007276</v>
      </c>
      <c r="R105" s="92"/>
      <c r="S105" s="92"/>
      <c r="U105" s="92"/>
      <c r="V105" s="92"/>
    </row>
    <row r="106" spans="1:26" ht="17.25" x14ac:dyDescent="0.25">
      <c r="A106" s="11">
        <v>763</v>
      </c>
      <c r="B106" s="12" t="s">
        <v>99</v>
      </c>
      <c r="C106" s="30" t="s">
        <v>32</v>
      </c>
      <c r="D106" s="20">
        <v>25</v>
      </c>
      <c r="E106" s="43">
        <v>265.255</v>
      </c>
      <c r="F106" s="52"/>
      <c r="G106" s="21">
        <f t="shared" si="20"/>
        <v>0</v>
      </c>
      <c r="H106" s="59">
        <f t="shared" si="21"/>
        <v>0</v>
      </c>
      <c r="I106" s="92"/>
      <c r="J106" s="7"/>
      <c r="K106">
        <v>0</v>
      </c>
      <c r="L106">
        <v>763</v>
      </c>
      <c r="M106" s="115">
        <v>269.63</v>
      </c>
      <c r="N106" s="115">
        <f t="shared" si="32"/>
        <v>10785.2</v>
      </c>
      <c r="O106" s="115">
        <v>10785</v>
      </c>
      <c r="P106" s="116">
        <f t="shared" si="33"/>
        <v>-0.2000000000007276</v>
      </c>
      <c r="R106" s="92"/>
      <c r="S106" s="92"/>
      <c r="U106" s="92"/>
      <c r="V106" s="92"/>
    </row>
    <row r="107" spans="1:26" ht="17.25" x14ac:dyDescent="0.25">
      <c r="A107" s="11">
        <v>764</v>
      </c>
      <c r="B107" s="12" t="s">
        <v>100</v>
      </c>
      <c r="C107" s="30" t="s">
        <v>32</v>
      </c>
      <c r="D107" s="20">
        <v>25</v>
      </c>
      <c r="E107" s="43">
        <v>269.625</v>
      </c>
      <c r="F107" s="48"/>
      <c r="G107" s="21">
        <f t="shared" si="20"/>
        <v>0</v>
      </c>
      <c r="H107" s="59">
        <f t="shared" si="21"/>
        <v>0</v>
      </c>
      <c r="I107" s="92"/>
      <c r="J107" s="7"/>
      <c r="K107">
        <v>0</v>
      </c>
      <c r="L107">
        <v>764</v>
      </c>
      <c r="M107" s="115">
        <v>274</v>
      </c>
      <c r="N107" s="115">
        <f t="shared" si="32"/>
        <v>10960</v>
      </c>
      <c r="O107" s="115">
        <v>10960</v>
      </c>
      <c r="P107" s="116">
        <f t="shared" si="33"/>
        <v>0</v>
      </c>
      <c r="R107" s="92"/>
      <c r="S107" s="92"/>
      <c r="U107" s="92"/>
      <c r="V107" s="92"/>
    </row>
    <row r="108" spans="1:26" ht="17.25" x14ac:dyDescent="0.25">
      <c r="A108" s="11">
        <v>767</v>
      </c>
      <c r="B108" s="12" t="s">
        <v>97</v>
      </c>
      <c r="C108" s="30" t="s">
        <v>32</v>
      </c>
      <c r="D108" s="20">
        <v>25</v>
      </c>
      <c r="E108" s="43">
        <v>263.375</v>
      </c>
      <c r="F108" s="53"/>
      <c r="G108" s="21">
        <f t="shared" si="20"/>
        <v>0</v>
      </c>
      <c r="H108" s="59">
        <f t="shared" si="21"/>
        <v>0</v>
      </c>
      <c r="I108" s="92"/>
      <c r="J108" s="7"/>
      <c r="K108">
        <v>0</v>
      </c>
      <c r="L108">
        <v>767</v>
      </c>
      <c r="M108" s="115">
        <v>267.75</v>
      </c>
      <c r="N108" s="115">
        <f t="shared" si="32"/>
        <v>10710</v>
      </c>
      <c r="O108" s="115">
        <v>10710</v>
      </c>
      <c r="P108" s="116">
        <f t="shared" si="33"/>
        <v>0</v>
      </c>
      <c r="R108" s="92"/>
      <c r="S108" s="92"/>
      <c r="U108" s="92"/>
      <c r="V108" s="92"/>
    </row>
    <row r="109" spans="1:26" ht="17.25" x14ac:dyDescent="0.25">
      <c r="A109" s="19">
        <v>137</v>
      </c>
      <c r="B109" s="12" t="s">
        <v>127</v>
      </c>
      <c r="C109" s="30" t="s">
        <v>32</v>
      </c>
      <c r="D109" s="20">
        <v>25</v>
      </c>
      <c r="E109" s="43">
        <v>389.78</v>
      </c>
      <c r="F109" s="53"/>
      <c r="G109" s="21">
        <f>+(D109*F109)/1000</f>
        <v>0</v>
      </c>
      <c r="H109" s="59">
        <f t="shared" si="21"/>
        <v>0</v>
      </c>
      <c r="I109" s="92"/>
      <c r="J109" s="7"/>
      <c r="K109">
        <v>0</v>
      </c>
      <c r="R109" s="92"/>
      <c r="S109" s="92"/>
      <c r="U109" s="92"/>
      <c r="V109" s="92"/>
    </row>
    <row r="110" spans="1:26" ht="17.25" x14ac:dyDescent="0.25">
      <c r="A110" s="19">
        <v>138</v>
      </c>
      <c r="B110" s="12" t="s">
        <v>128</v>
      </c>
      <c r="C110" s="30" t="s">
        <v>32</v>
      </c>
      <c r="D110" s="20">
        <v>5</v>
      </c>
      <c r="E110" s="43">
        <v>83.66</v>
      </c>
      <c r="F110" s="53"/>
      <c r="G110" s="21">
        <f t="shared" si="20"/>
        <v>0</v>
      </c>
      <c r="H110" s="59">
        <f t="shared" si="21"/>
        <v>0</v>
      </c>
      <c r="I110" s="92"/>
      <c r="J110" s="7"/>
      <c r="K110">
        <v>0</v>
      </c>
      <c r="R110" s="92"/>
      <c r="S110" s="92"/>
      <c r="U110" s="92"/>
      <c r="V110" s="92"/>
    </row>
    <row r="111" spans="1:26" ht="17.25" x14ac:dyDescent="0.25">
      <c r="A111" s="19">
        <v>774</v>
      </c>
      <c r="B111" s="30" t="s">
        <v>101</v>
      </c>
      <c r="C111" s="30" t="s">
        <v>53</v>
      </c>
      <c r="D111" s="20">
        <v>25</v>
      </c>
      <c r="E111" s="43">
        <v>270.08</v>
      </c>
      <c r="F111" s="53">
        <v>10</v>
      </c>
      <c r="G111" s="21">
        <f t="shared" si="20"/>
        <v>0.25</v>
      </c>
      <c r="H111" s="59">
        <f t="shared" ref="H111:H114" si="34">+E111*F111*(1-$B$11)</f>
        <v>2619.7759999999998</v>
      </c>
      <c r="I111" s="92"/>
      <c r="J111" s="7"/>
      <c r="K111">
        <v>0</v>
      </c>
      <c r="L111">
        <v>774</v>
      </c>
      <c r="M111" s="115">
        <v>330.08</v>
      </c>
      <c r="N111" s="115">
        <f t="shared" ref="N111" si="35">+M111*40</f>
        <v>13203.199999999999</v>
      </c>
      <c r="O111" s="115">
        <v>13203</v>
      </c>
      <c r="P111" s="116">
        <f>+O111-N111</f>
        <v>-0.19999999999890861</v>
      </c>
      <c r="R111" s="92"/>
      <c r="S111" s="92"/>
      <c r="U111" s="92"/>
      <c r="V111" s="92"/>
    </row>
    <row r="112" spans="1:26" ht="17.25" x14ac:dyDescent="0.25">
      <c r="A112" s="19">
        <v>461</v>
      </c>
      <c r="B112" s="30" t="s">
        <v>102</v>
      </c>
      <c r="C112" s="30" t="s">
        <v>53</v>
      </c>
      <c r="D112" s="20">
        <v>5</v>
      </c>
      <c r="E112" s="43">
        <v>60.14</v>
      </c>
      <c r="F112" s="48"/>
      <c r="G112" s="21">
        <f>+(D112*F112)/1000</f>
        <v>0</v>
      </c>
      <c r="H112" s="59">
        <f t="shared" si="34"/>
        <v>0</v>
      </c>
      <c r="I112" s="92"/>
      <c r="J112" s="7"/>
      <c r="K112">
        <v>0</v>
      </c>
      <c r="L112" s="104"/>
      <c r="R112" s="92"/>
      <c r="S112" s="92"/>
      <c r="U112" s="92"/>
      <c r="V112" s="92"/>
    </row>
    <row r="113" spans="1:22" ht="17.25" x14ac:dyDescent="0.25">
      <c r="A113" s="19">
        <v>375</v>
      </c>
      <c r="B113" s="30" t="s">
        <v>103</v>
      </c>
      <c r="C113" s="30" t="s">
        <v>53</v>
      </c>
      <c r="D113" s="13">
        <v>25</v>
      </c>
      <c r="E113" s="43">
        <v>380.27</v>
      </c>
      <c r="F113" s="48"/>
      <c r="G113" s="21">
        <f>+(D113*F113)/1000</f>
        <v>0</v>
      </c>
      <c r="H113" s="59">
        <f t="shared" si="34"/>
        <v>0</v>
      </c>
      <c r="I113" s="92"/>
      <c r="J113" s="7"/>
      <c r="K113">
        <v>0</v>
      </c>
      <c r="L113" s="104"/>
      <c r="R113" s="92"/>
      <c r="S113" s="92"/>
      <c r="U113" s="92"/>
      <c r="V113" s="92"/>
    </row>
    <row r="114" spans="1:22" ht="17.25" x14ac:dyDescent="0.25">
      <c r="A114" s="11">
        <v>139</v>
      </c>
      <c r="B114" s="30" t="s">
        <v>125</v>
      </c>
      <c r="C114" s="30" t="s">
        <v>53</v>
      </c>
      <c r="D114" s="13">
        <v>5</v>
      </c>
      <c r="E114" s="43">
        <v>86.78</v>
      </c>
      <c r="F114" s="48"/>
      <c r="G114" s="21">
        <f>+(D114*F114)/1000</f>
        <v>0</v>
      </c>
      <c r="H114" s="59">
        <f t="shared" si="34"/>
        <v>0</v>
      </c>
      <c r="I114" s="92"/>
      <c r="J114" s="7"/>
      <c r="K114">
        <v>0</v>
      </c>
      <c r="L114" s="104"/>
      <c r="R114" s="92"/>
      <c r="S114" s="92"/>
      <c r="U114" s="92"/>
      <c r="V114" s="92"/>
    </row>
    <row r="115" spans="1:22" ht="17.25" x14ac:dyDescent="0.25">
      <c r="A115" s="11">
        <v>301557</v>
      </c>
      <c r="B115" s="26" t="s">
        <v>104</v>
      </c>
      <c r="C115" s="12" t="s">
        <v>105</v>
      </c>
      <c r="D115" s="13">
        <v>1</v>
      </c>
      <c r="E115" s="43">
        <v>50.46</v>
      </c>
      <c r="F115" s="48"/>
      <c r="G115" s="21"/>
      <c r="H115" s="59">
        <f>+E115*F115</f>
        <v>0</v>
      </c>
      <c r="I115" s="92"/>
      <c r="J115" s="7"/>
      <c r="K115">
        <v>0</v>
      </c>
      <c r="R115" s="92"/>
      <c r="S115" s="92"/>
      <c r="U115" s="92"/>
      <c r="V115" s="92"/>
    </row>
    <row r="116" spans="1:22" ht="17.25" x14ac:dyDescent="0.25">
      <c r="A116" s="11">
        <v>301558</v>
      </c>
      <c r="B116" s="26" t="s">
        <v>106</v>
      </c>
      <c r="C116" s="12" t="s">
        <v>105</v>
      </c>
      <c r="D116" s="13">
        <v>1</v>
      </c>
      <c r="E116" s="43">
        <v>100.92</v>
      </c>
      <c r="F116" s="48"/>
      <c r="G116" s="21"/>
      <c r="H116" s="59">
        <f>+E116*F116</f>
        <v>0</v>
      </c>
      <c r="I116" s="92"/>
      <c r="J116" s="7"/>
      <c r="K116">
        <v>0</v>
      </c>
      <c r="R116" s="92"/>
      <c r="S116" s="92"/>
      <c r="U116" s="92"/>
      <c r="V116" s="92"/>
    </row>
    <row r="117" spans="1:22" ht="18.75" x14ac:dyDescent="0.25">
      <c r="A117" s="168" t="s">
        <v>107</v>
      </c>
      <c r="B117" s="169"/>
      <c r="C117" s="83"/>
      <c r="D117" s="83"/>
      <c r="E117" s="83"/>
      <c r="F117" s="84"/>
      <c r="G117" s="98"/>
      <c r="H117" s="59"/>
      <c r="I117" s="15"/>
      <c r="J117" s="7"/>
      <c r="K117">
        <v>0</v>
      </c>
      <c r="R117" s="92"/>
      <c r="S117" s="92"/>
      <c r="U117" s="92"/>
      <c r="V117" s="92"/>
    </row>
    <row r="118" spans="1:22" ht="17.25" x14ac:dyDescent="0.25">
      <c r="A118" s="11">
        <v>651</v>
      </c>
      <c r="B118" s="12" t="s">
        <v>132</v>
      </c>
      <c r="C118" s="12" t="s">
        <v>21</v>
      </c>
      <c r="D118" s="13">
        <v>25</v>
      </c>
      <c r="E118" s="43">
        <v>306.5</v>
      </c>
      <c r="F118" s="52">
        <v>10</v>
      </c>
      <c r="G118" s="14">
        <f>+(D118*F118)/1000</f>
        <v>0.25</v>
      </c>
      <c r="H118" s="59">
        <f>+E118*F118*(1-$B$10-$B$11)</f>
        <v>2850.45</v>
      </c>
      <c r="I118" s="92"/>
      <c r="J118" s="7"/>
      <c r="K118">
        <v>0</v>
      </c>
      <c r="R118" s="92"/>
      <c r="S118" s="92"/>
      <c r="U118" s="92"/>
      <c r="V118" s="92"/>
    </row>
    <row r="119" spans="1:22" ht="17.25" x14ac:dyDescent="0.25">
      <c r="A119" s="16">
        <v>513</v>
      </c>
      <c r="B119" s="70" t="s">
        <v>133</v>
      </c>
      <c r="C119" s="32" t="s">
        <v>32</v>
      </c>
      <c r="D119" s="17">
        <v>25</v>
      </c>
      <c r="E119" s="43">
        <v>267.12</v>
      </c>
      <c r="F119" s="54">
        <v>5</v>
      </c>
      <c r="G119" s="31">
        <f>+(D119*F119)/1000</f>
        <v>0.125</v>
      </c>
      <c r="H119" s="59">
        <f>+E119*F119*(1-$B$10-$B$11)</f>
        <v>1242.1079999999997</v>
      </c>
      <c r="I119" s="92"/>
      <c r="J119" s="7"/>
      <c r="K119">
        <v>0</v>
      </c>
      <c r="R119" s="92"/>
      <c r="S119" s="92"/>
      <c r="U119" s="92"/>
      <c r="V119" s="92"/>
    </row>
    <row r="120" spans="1:22" ht="18.75" x14ac:dyDescent="0.25">
      <c r="A120" s="156" t="s">
        <v>108</v>
      </c>
      <c r="B120" s="157"/>
      <c r="C120" s="85"/>
      <c r="D120" s="85"/>
      <c r="E120" s="85"/>
      <c r="F120" s="86"/>
      <c r="G120" s="99"/>
      <c r="H120" s="59"/>
      <c r="I120" s="15"/>
      <c r="J120" s="7"/>
      <c r="K120">
        <v>0</v>
      </c>
      <c r="R120" s="92"/>
      <c r="S120" s="92"/>
      <c r="U120" s="92"/>
      <c r="V120" s="92"/>
    </row>
    <row r="121" spans="1:22" ht="17.25" x14ac:dyDescent="0.25">
      <c r="A121" s="11">
        <v>93</v>
      </c>
      <c r="B121" s="12" t="s">
        <v>109</v>
      </c>
      <c r="C121" s="12" t="s">
        <v>32</v>
      </c>
      <c r="D121" s="13">
        <v>5</v>
      </c>
      <c r="E121" s="43">
        <v>55.48</v>
      </c>
      <c r="F121" s="52"/>
      <c r="G121" s="14">
        <f t="shared" ref="G121:G128" si="36">+(D121*F121)/1000</f>
        <v>0</v>
      </c>
      <c r="H121" s="59">
        <f t="shared" ref="H121:H128" si="37">+E121*F121*(1-$B$10-$B$11)</f>
        <v>0</v>
      </c>
      <c r="I121" s="92"/>
      <c r="J121" s="7"/>
      <c r="K121">
        <v>0</v>
      </c>
      <c r="R121" s="92"/>
      <c r="S121" s="92"/>
      <c r="U121" s="92"/>
      <c r="V121" s="92"/>
    </row>
    <row r="122" spans="1:22" ht="17.25" x14ac:dyDescent="0.25">
      <c r="A122" s="11">
        <v>94</v>
      </c>
      <c r="B122" s="12" t="s">
        <v>110</v>
      </c>
      <c r="C122" s="12" t="s">
        <v>32</v>
      </c>
      <c r="D122" s="13">
        <v>5</v>
      </c>
      <c r="E122" s="43">
        <v>64.56</v>
      </c>
      <c r="F122" s="48">
        <v>15</v>
      </c>
      <c r="G122" s="14">
        <f t="shared" si="36"/>
        <v>7.4999999999999997E-2</v>
      </c>
      <c r="H122" s="59">
        <f t="shared" si="37"/>
        <v>900.61200000000008</v>
      </c>
      <c r="I122" s="92"/>
      <c r="J122" s="7"/>
      <c r="K122">
        <v>0</v>
      </c>
      <c r="R122" s="92"/>
      <c r="S122" s="92"/>
      <c r="U122" s="92"/>
      <c r="V122" s="92"/>
    </row>
    <row r="123" spans="1:22" ht="17.25" x14ac:dyDescent="0.25">
      <c r="A123" s="11">
        <v>95</v>
      </c>
      <c r="B123" s="12" t="s">
        <v>111</v>
      </c>
      <c r="C123" s="12" t="s">
        <v>21</v>
      </c>
      <c r="D123" s="13">
        <v>5</v>
      </c>
      <c r="E123" s="43">
        <v>63.685000000000002</v>
      </c>
      <c r="F123" s="48">
        <v>15</v>
      </c>
      <c r="G123" s="14">
        <f t="shared" si="36"/>
        <v>7.4999999999999997E-2</v>
      </c>
      <c r="H123" s="59">
        <f t="shared" si="37"/>
        <v>888.40575000000001</v>
      </c>
      <c r="I123" s="92"/>
      <c r="J123" s="7"/>
      <c r="K123">
        <v>0</v>
      </c>
      <c r="R123" s="92"/>
      <c r="S123" s="92"/>
      <c r="U123" s="92"/>
      <c r="V123" s="92"/>
    </row>
    <row r="124" spans="1:22" ht="17.25" x14ac:dyDescent="0.25">
      <c r="A124" s="11">
        <v>491</v>
      </c>
      <c r="B124" s="12" t="s">
        <v>112</v>
      </c>
      <c r="C124" s="12" t="s">
        <v>21</v>
      </c>
      <c r="D124" s="13">
        <v>5</v>
      </c>
      <c r="E124" s="43">
        <v>66.805000000000007</v>
      </c>
      <c r="F124" s="48"/>
      <c r="G124" s="14">
        <f t="shared" si="36"/>
        <v>0</v>
      </c>
      <c r="H124" s="59">
        <f t="shared" si="37"/>
        <v>0</v>
      </c>
      <c r="I124" s="92"/>
      <c r="J124" s="7"/>
      <c r="K124">
        <v>0</v>
      </c>
      <c r="R124" s="92"/>
      <c r="S124" s="92"/>
      <c r="U124" s="92"/>
      <c r="V124" s="92"/>
    </row>
    <row r="125" spans="1:22" ht="17.25" x14ac:dyDescent="0.25">
      <c r="A125" s="11">
        <v>96</v>
      </c>
      <c r="B125" s="12" t="s">
        <v>113</v>
      </c>
      <c r="C125" s="12" t="s">
        <v>21</v>
      </c>
      <c r="D125" s="13">
        <v>5</v>
      </c>
      <c r="E125" s="43">
        <v>58.935000000000002</v>
      </c>
      <c r="F125" s="48"/>
      <c r="G125" s="14">
        <f t="shared" si="36"/>
        <v>0</v>
      </c>
      <c r="H125" s="59">
        <f t="shared" si="37"/>
        <v>0</v>
      </c>
      <c r="I125" s="92"/>
      <c r="J125" s="7"/>
      <c r="K125">
        <v>0</v>
      </c>
      <c r="R125" s="92"/>
      <c r="S125" s="92"/>
      <c r="U125" s="92"/>
      <c r="V125" s="92"/>
    </row>
    <row r="126" spans="1:22" ht="17.25" x14ac:dyDescent="0.25">
      <c r="A126" s="11">
        <v>99</v>
      </c>
      <c r="B126" s="12" t="s">
        <v>114</v>
      </c>
      <c r="C126" s="12" t="s">
        <v>32</v>
      </c>
      <c r="D126" s="13">
        <v>5</v>
      </c>
      <c r="E126" s="43">
        <v>54.88</v>
      </c>
      <c r="F126" s="48"/>
      <c r="G126" s="14">
        <f t="shared" si="36"/>
        <v>0</v>
      </c>
      <c r="H126" s="59">
        <f t="shared" si="37"/>
        <v>0</v>
      </c>
      <c r="I126" s="92"/>
      <c r="J126" s="7"/>
      <c r="K126">
        <v>0</v>
      </c>
      <c r="R126" s="92"/>
      <c r="S126" s="92"/>
      <c r="U126" s="92"/>
      <c r="V126" s="92"/>
    </row>
    <row r="127" spans="1:22" ht="17.25" x14ac:dyDescent="0.25">
      <c r="A127" s="11">
        <v>100</v>
      </c>
      <c r="B127" s="12" t="s">
        <v>115</v>
      </c>
      <c r="C127" s="12" t="s">
        <v>32</v>
      </c>
      <c r="D127" s="13">
        <v>5</v>
      </c>
      <c r="E127" s="43">
        <v>50.63</v>
      </c>
      <c r="F127" s="48"/>
      <c r="G127" s="14">
        <f t="shared" si="36"/>
        <v>0</v>
      </c>
      <c r="H127" s="59">
        <f t="shared" si="37"/>
        <v>0</v>
      </c>
      <c r="I127" s="92"/>
      <c r="J127" s="7"/>
      <c r="K127">
        <v>0</v>
      </c>
      <c r="R127" s="92"/>
      <c r="S127" s="92"/>
      <c r="U127" s="92"/>
      <c r="V127" s="92"/>
    </row>
    <row r="128" spans="1:22" ht="18" thickBot="1" x14ac:dyDescent="0.3">
      <c r="A128" s="100">
        <v>148</v>
      </c>
      <c r="B128" s="36" t="s">
        <v>116</v>
      </c>
      <c r="C128" s="36" t="s">
        <v>21</v>
      </c>
      <c r="D128" s="101">
        <v>5</v>
      </c>
      <c r="E128" s="43">
        <v>68.180000000000007</v>
      </c>
      <c r="F128" s="102"/>
      <c r="G128" s="37">
        <f t="shared" si="36"/>
        <v>0</v>
      </c>
      <c r="H128" s="59">
        <f t="shared" si="37"/>
        <v>0</v>
      </c>
      <c r="I128" s="92"/>
      <c r="J128" s="7"/>
      <c r="K128">
        <v>0</v>
      </c>
      <c r="R128" s="92"/>
      <c r="S128" s="92"/>
      <c r="U128" s="92"/>
      <c r="V128" s="92"/>
    </row>
    <row r="129" spans="1:11" x14ac:dyDescent="0.25">
      <c r="A129" s="8"/>
      <c r="E129" s="92"/>
      <c r="F129" s="92"/>
      <c r="G129" s="31"/>
      <c r="H129"/>
      <c r="J129" s="7"/>
      <c r="K129">
        <v>0</v>
      </c>
    </row>
    <row r="130" spans="1:11" x14ac:dyDescent="0.25">
      <c r="A130" s="40" t="s">
        <v>117</v>
      </c>
      <c r="E130" s="105"/>
      <c r="F130" s="105"/>
      <c r="G130" s="106"/>
      <c r="J130" s="7"/>
    </row>
    <row r="131" spans="1:11" x14ac:dyDescent="0.25">
      <c r="A131" s="40" t="s">
        <v>118</v>
      </c>
      <c r="E131" s="92"/>
      <c r="F131" s="92"/>
      <c r="J131" s="7"/>
    </row>
    <row r="132" spans="1:11" x14ac:dyDescent="0.25">
      <c r="A132" s="40" t="s">
        <v>119</v>
      </c>
      <c r="J132" s="7"/>
    </row>
    <row r="133" spans="1:11" x14ac:dyDescent="0.25">
      <c r="A133" s="40" t="s">
        <v>120</v>
      </c>
      <c r="J133" s="7"/>
    </row>
    <row r="134" spans="1:11" ht="15.75" thickBot="1" x14ac:dyDescent="0.3">
      <c r="A134" s="103"/>
      <c r="B134" s="41"/>
      <c r="C134" s="41"/>
      <c r="D134" s="41"/>
      <c r="E134" s="41"/>
      <c r="F134" s="41"/>
      <c r="G134" s="41"/>
      <c r="H134" s="66"/>
      <c r="I134" s="41"/>
      <c r="J134" s="42"/>
    </row>
  </sheetData>
  <sheetProtection algorithmName="SHA-512" hashValue="lDDwYcb9/hxXp8QLjPDDWIC9eBLDrB/k0YUyCvZxw08Td/4xqdL1CJKWAOa0aH3b5BwCpKivLlJG2/bh9b5Emw==" saltValue="yBzxyI+bp/d+rZeasSRsaA==" spinCount="100000" sheet="1" selectLockedCells="1"/>
  <mergeCells count="25">
    <mergeCell ref="A120:B120"/>
    <mergeCell ref="G9:G11"/>
    <mergeCell ref="E4:F6"/>
    <mergeCell ref="G4:G6"/>
    <mergeCell ref="A80:B80"/>
    <mergeCell ref="A96:B96"/>
    <mergeCell ref="A117:B117"/>
    <mergeCell ref="A24:B24"/>
    <mergeCell ref="A35:B35"/>
    <mergeCell ref="A56:B56"/>
    <mergeCell ref="A64:B64"/>
    <mergeCell ref="C20:D20"/>
    <mergeCell ref="A83:B83"/>
    <mergeCell ref="A91:B91"/>
    <mergeCell ref="A15:B15"/>
    <mergeCell ref="A77:B77"/>
    <mergeCell ref="A1:J1"/>
    <mergeCell ref="A2:J2"/>
    <mergeCell ref="A20:B20"/>
    <mergeCell ref="E9:F11"/>
    <mergeCell ref="I67:I70"/>
    <mergeCell ref="A45:B45"/>
    <mergeCell ref="A50:B50"/>
    <mergeCell ref="A54:B54"/>
    <mergeCell ref="A30:B30"/>
  </mergeCells>
  <dataValidations count="8">
    <dataValidation showDropDown="1" showInputMessage="1" showErrorMessage="1" sqref="B4:B5" xr:uid="{00000000-0002-0000-0000-000000000000}"/>
    <dataValidation allowBlank="1" showInputMessage="1" showErrorMessage="1" promptTitle="Pago de Contado" prompt="Comunicarse primero con el departamento de créditos Agromas® para confirmar si en su caso aplica el descuento por pago de contado." sqref="B11" xr:uid="{00000000-0002-0000-0000-000001000000}"/>
    <dataValidation allowBlank="1" showInputMessage="1" showErrorMessage="1" promptTitle="Fecha de Entrega" prompt="Para ofrecerle un buen servicio estamos manejando un periodo de entrega mínimo de 48 horas. " sqref="B8" xr:uid="{00000000-0002-0000-0000-000002000000}"/>
    <dataValidation allowBlank="1" showInputMessage="1" showErrorMessage="1" promptTitle="Descuento Cliente" prompt="Consultar con su Agente de Ventas el descuento que tiene." sqref="B10" xr:uid="{00000000-0002-0000-0000-000003000000}"/>
    <dataValidation type="whole" allowBlank="1" showInputMessage="1" showErrorMessage="1" errorTitle="Error en unidad" error="Ingresar sacos completos" sqref="F69 F75 F71:F73 F64:F67 F15:F17 F21:F62" xr:uid="{00000000-0002-0000-0000-000004000000}">
      <formula1>0</formula1>
      <formula2>750</formula2>
    </dataValidation>
    <dataValidation type="whole" allowBlank="1" showInputMessage="1" showErrorMessage="1" errorTitle="Error en número de sacos" error="Ingresar Sacos Completos" sqref="F74 F117:F120 F18:F19 F76:F111" xr:uid="{00000000-0002-0000-0000-000005000000}">
      <formula1>0</formula1>
      <formula2>750</formula2>
    </dataValidation>
    <dataValidation type="whole" allowBlank="1" showInputMessage="1" showErrorMessage="1" errorTitle="Error en número de sacos" error="Ingresar Sacos Completos" sqref="F121:F128 F112:F116" xr:uid="{00000000-0002-0000-0000-000006000000}">
      <formula1>0</formula1>
      <formula2>6400</formula2>
    </dataValidation>
    <dataValidation type="whole" allowBlank="1" showInputMessage="1" showErrorMessage="1" errorTitle="Error en unidad" error="Ingresar sacos completos" sqref="F63" xr:uid="{00000000-0002-0000-0000-000007000000}">
      <formula1>0</formula1>
      <formula2>3000</formula2>
    </dataValidation>
  </dataValidations>
  <pageMargins left="0.7" right="0.7" top="0.75" bottom="0.75" header="0.3" footer="0.3"/>
  <pageSetup scale="37" orientation="portrait" r:id="rId1"/>
  <ignoredErrors>
    <ignoredError sqref="H6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PEDIDOS</vt:lpstr>
      <vt:lpstr>PEDIDOS!Área_de_impresión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Ayda Guzman Morales</dc:creator>
  <cp:keywords/>
  <dc:description/>
  <cp:lastModifiedBy>Jesus Baruc Polvo Cuatianquiz</cp:lastModifiedBy>
  <cp:revision/>
  <dcterms:created xsi:type="dcterms:W3CDTF">2017-08-26T17:03:20Z</dcterms:created>
  <dcterms:modified xsi:type="dcterms:W3CDTF">2026-06-30T18:42:20Z</dcterms:modified>
  <cp:category/>
  <cp:contentStatus/>
</cp:coreProperties>
</file>