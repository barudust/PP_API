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uc\Downloads\"/>
    </mc:Choice>
  </mc:AlternateContent>
  <xr:revisionPtr revIDLastSave="0" documentId="13_ncr:1_{A1DD2FFD-7D40-4D80-9BCD-E1E978C50CB8}" xr6:coauthVersionLast="47" xr6:coauthVersionMax="47" xr10:uidLastSave="{00000000-0000-0000-0000-000000000000}"/>
  <bookViews>
    <workbookView xWindow="-28920" yWindow="900" windowWidth="29040" windowHeight="15720" activeTab="2" xr2:uid="{756D0D3E-8A90-427E-ABA7-05C04326C4F1}"/>
  </bookViews>
  <sheets>
    <sheet name="Menudeo" sheetId="1" r:id="rId1"/>
    <sheet name="Mayoreo" sheetId="3" r:id="rId2"/>
    <sheet name="Pedidos" sheetId="4" r:id="rId3"/>
    <sheet name="Empresa" sheetId="7" r:id="rId4"/>
  </sheets>
  <definedNames>
    <definedName name="_xlnm.Print_Area" localSheetId="3">Empresa!$B$1:$F$21</definedName>
    <definedName name="_xlnm.Print_Area" localSheetId="1">Mayoreo!$A$1:$D$15</definedName>
    <definedName name="_xlnm.Print_Area" localSheetId="0">Menudeo!$A$1:$D$15</definedName>
    <definedName name="_xlnm.Print_Area" localSheetId="2">Pedidos!$B$1:$F$19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E3" i="1" a="1"/>
  <c r="E3" i="1" s="1"/>
  <c r="Q20" i="4"/>
  <c r="N20" i="4"/>
  <c r="O20" i="4" s="1"/>
  <c r="Q21" i="4"/>
  <c r="N21" i="4" s="1"/>
  <c r="O21" i="4" s="1"/>
  <c r="F22" i="7"/>
  <c r="F16" i="7"/>
  <c r="F17" i="7"/>
  <c r="F18" i="7"/>
  <c r="F19" i="7"/>
  <c r="F20" i="7"/>
  <c r="E4" i="7"/>
  <c r="E5" i="7"/>
  <c r="E6" i="7"/>
  <c r="E7" i="7"/>
  <c r="E8" i="7"/>
  <c r="E9" i="7"/>
  <c r="F9" i="7" s="1"/>
  <c r="E10" i="7"/>
  <c r="F10" i="7" s="1"/>
  <c r="E11" i="7"/>
  <c r="F11" i="7" s="1"/>
  <c r="E12" i="7"/>
  <c r="F12" i="7" s="1"/>
  <c r="E13" i="7"/>
  <c r="F13" i="7" s="1"/>
  <c r="E14" i="7"/>
  <c r="E15" i="7"/>
  <c r="E16" i="7"/>
  <c r="E17" i="7"/>
  <c r="E18" i="7"/>
  <c r="E19" i="7"/>
  <c r="E20" i="7"/>
  <c r="E3" i="7"/>
  <c r="F3" i="7" s="1"/>
  <c r="M25" i="7"/>
  <c r="M24" i="7"/>
  <c r="M23" i="7"/>
  <c r="M22" i="7"/>
  <c r="M21" i="7"/>
  <c r="H20" i="7"/>
  <c r="H19" i="7"/>
  <c r="H18" i="7"/>
  <c r="H17" i="7"/>
  <c r="H16" i="7"/>
  <c r="H15" i="7"/>
  <c r="H14" i="7"/>
  <c r="F14" i="7"/>
  <c r="H13" i="7"/>
  <c r="H12" i="7"/>
  <c r="H11" i="7"/>
  <c r="H10" i="7"/>
  <c r="H9" i="7"/>
  <c r="H8" i="7"/>
  <c r="F8" i="7"/>
  <c r="H7" i="7"/>
  <c r="F7" i="7"/>
  <c r="H6" i="7"/>
  <c r="F6" i="7"/>
  <c r="H5" i="7"/>
  <c r="F5" i="7"/>
  <c r="H4" i="7"/>
  <c r="F4" i="7" s="1"/>
  <c r="H3" i="7"/>
  <c r="C16" i="3"/>
  <c r="C17" i="3"/>
  <c r="C18" i="3"/>
  <c r="C19" i="3"/>
  <c r="C20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B3" i="3"/>
  <c r="A3" i="3"/>
  <c r="H4" i="4"/>
  <c r="E4" i="4" s="1"/>
  <c r="F4" i="4" s="1"/>
  <c r="H5" i="4"/>
  <c r="E5" i="4" s="1"/>
  <c r="F5" i="4" s="1"/>
  <c r="H6" i="4"/>
  <c r="E6" i="4" s="1"/>
  <c r="F6" i="4" s="1"/>
  <c r="H7" i="4"/>
  <c r="E7" i="4" s="1"/>
  <c r="F7" i="4" s="1"/>
  <c r="H8" i="4"/>
  <c r="E8" i="4" s="1"/>
  <c r="F8" i="4" s="1"/>
  <c r="H9" i="4"/>
  <c r="E9" i="4" s="1"/>
  <c r="F9" i="4" s="1"/>
  <c r="H10" i="4"/>
  <c r="E10" i="4" s="1"/>
  <c r="F10" i="4" s="1"/>
  <c r="H11" i="4"/>
  <c r="E11" i="4" s="1"/>
  <c r="F11" i="4" s="1"/>
  <c r="H12" i="4"/>
  <c r="E12" i="4" s="1"/>
  <c r="H13" i="4"/>
  <c r="E13" i="4" s="1"/>
  <c r="F13" i="4" s="1"/>
  <c r="H14" i="4"/>
  <c r="E14" i="4" s="1"/>
  <c r="F14" i="4" s="1"/>
  <c r="H15" i="4"/>
  <c r="E15" i="4" s="1"/>
  <c r="H16" i="4"/>
  <c r="E16" i="4" s="1"/>
  <c r="F16" i="4" s="1"/>
  <c r="H17" i="4"/>
  <c r="E17" i="4" s="1"/>
  <c r="F17" i="4" s="1"/>
  <c r="H18" i="4"/>
  <c r="E18" i="4" s="1"/>
  <c r="F18" i="4" s="1"/>
  <c r="H3" i="4"/>
  <c r="E3" i="4" s="1"/>
  <c r="F20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3" i="3"/>
  <c r="C5" i="3"/>
  <c r="C6" i="3"/>
  <c r="C7" i="3"/>
  <c r="C8" i="3"/>
  <c r="C9" i="3"/>
  <c r="C10" i="3"/>
  <c r="C11" i="3"/>
  <c r="C12" i="3"/>
  <c r="C13" i="3"/>
  <c r="C14" i="3"/>
  <c r="C15" i="3"/>
  <c r="K20" i="3"/>
  <c r="K19" i="3"/>
  <c r="K18" i="3"/>
  <c r="K17" i="3"/>
  <c r="K16" i="3"/>
  <c r="K20" i="1"/>
  <c r="K19" i="1"/>
  <c r="K18" i="1"/>
  <c r="K17" i="1"/>
  <c r="K16" i="1"/>
  <c r="F12" i="4" l="1"/>
  <c r="F15" i="4"/>
  <c r="F3" i="4"/>
  <c r="F19" i="4" s="1"/>
  <c r="F15" i="7"/>
  <c r="F21" i="7" s="1"/>
  <c r="C3" i="3"/>
  <c r="C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<sst xmlns="http://schemas.openxmlformats.org/spreadsheetml/2006/main" count="92" uniqueCount="26">
  <si>
    <t>Winners</t>
  </si>
  <si>
    <t>HOUND ADULTO 15 + 3 KG</t>
  </si>
  <si>
    <t>HOUND CACHORRO 20+5 KG</t>
  </si>
  <si>
    <t>CANNES CACHORRO 20+2 kg</t>
  </si>
  <si>
    <t>CANNES ADULTO 25 kg</t>
  </si>
  <si>
    <t>ENERGY DOG 25 KG</t>
  </si>
  <si>
    <t>KAN PLUS 25 KG</t>
  </si>
  <si>
    <t>ESENCIAL 25 KG</t>
  </si>
  <si>
    <t>SIMPLE 20 KG</t>
  </si>
  <si>
    <t>SIMPLE 25 KG</t>
  </si>
  <si>
    <t>WINNERS MANTTO 20 KG</t>
  </si>
  <si>
    <t>WINNERS MANTTO 25 KG</t>
  </si>
  <si>
    <t>CAT LIKE 10 KG</t>
  </si>
  <si>
    <t>CAT MANTTO 15 KG</t>
  </si>
  <si>
    <t>HOUND ADULTO 10 KG</t>
  </si>
  <si>
    <t>HOUND ADULTO 4 KG</t>
  </si>
  <si>
    <t>HOUND CACHORRO 10 KG</t>
  </si>
  <si>
    <t>HOUND CACHORRO 4 KG</t>
  </si>
  <si>
    <t>CAT LIKE 4 KG</t>
  </si>
  <si>
    <t>Nombre</t>
  </si>
  <si>
    <t>Kg</t>
  </si>
  <si>
    <t>Precio</t>
  </si>
  <si>
    <t>Cant.</t>
  </si>
  <si>
    <t>Total</t>
  </si>
  <si>
    <t>Importe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</si>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</sst>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80A]* #,##0.00_-;\-[$$-80A]* #,##0.00_-;_-[$$-80A]* &quot;-&quot;??_-;_-@_-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8"/>
      <color theme="1"/>
      <name val="Comic Sans MS"/>
      <family val="4"/>
    </font>
    <font>
      <b/>
      <sz val="20"/>
      <color theme="1"/>
      <name val="Comic Sans MS"/>
      <family val="4"/>
    </font>
    <font>
      <b/>
      <sz val="24"/>
      <color theme="1"/>
      <name val="Comic Sans MS"/>
      <family val="4"/>
    </font>
    <font>
      <sz val="11"/>
      <color rgb="FF000000"/>
      <name val="Comic Sans MS"/>
      <family val="4"/>
    </font>
    <font>
      <sz val="20"/>
      <color theme="1"/>
      <name val="Aptos Narrow"/>
      <family val="2"/>
      <scheme val="minor"/>
    </font>
    <font>
      <sz val="11"/>
      <color theme="1"/>
      <name val="Comic Sans MS"/>
      <family val="4"/>
    </font>
    <font>
      <sz val="12"/>
      <color rgb="FF000000"/>
      <name val="Comic Sans MS"/>
      <family val="4"/>
    </font>
    <font>
      <sz val="12"/>
      <color theme="1"/>
      <name val="Comic Sans MS"/>
      <family val="4"/>
    </font>
    <font>
      <sz val="22"/>
      <color rgb="FF000000"/>
      <name val="Comic Sans MS"/>
      <family val="4"/>
    </font>
    <font>
      <b/>
      <sz val="18"/>
      <color theme="1"/>
      <name val="Comic Sans MS"/>
      <family val="4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rgb="FF000000"/>
      <name val="Comic Sans MS"/>
      <family val="4"/>
    </font>
    <font>
      <sz val="16"/>
      <color theme="1"/>
      <name val="Comic Sans MS"/>
      <family val="4"/>
    </font>
    <font>
      <sz val="16"/>
      <color theme="1"/>
      <name val="Aptos Narrow"/>
      <family val="2"/>
      <scheme val="minor"/>
    </font>
    <font>
      <b/>
      <sz val="22"/>
      <color theme="1"/>
      <name val="Comic Sans MS"/>
      <family val="4"/>
    </font>
    <font>
      <b/>
      <sz val="28"/>
      <color theme="1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8" fillId="0" borderId="1" xfId="0" applyNumberFormat="1" applyFont="1" applyBorder="1" applyAlignment="1">
      <alignment vertical="center"/>
    </xf>
    <xf numFmtId="2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165" fontId="14" fillId="0" borderId="1" xfId="1" applyNumberFormat="1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B2F9-36F9-4DF5-AFE3-AC0026C72057}">
  <dimension ref="A1:K30"/>
  <sheetViews>
    <sheetView topLeftCell="A3" workbookViewId="0">
      <selection activeCell="C2" sqref="C2:D2"/>
    </sheetView>
  </sheetViews>
  <sheetFormatPr baseColWidth="10" defaultRowHeight="15" x14ac:dyDescent="0.25"/>
  <cols>
    <col min="1" max="1" width="44" customWidth="1"/>
    <col min="2" max="2" width="11.140625" customWidth="1"/>
    <col min="3" max="3" width="16.140625" customWidth="1"/>
    <col min="4" max="4" width="15.7109375" customWidth="1"/>
  </cols>
  <sheetData>
    <row r="1" spans="1:11" s="1" customFormat="1" ht="39" customHeight="1" x14ac:dyDescent="0.25">
      <c r="A1" s="29" t="s">
        <v>0</v>
      </c>
      <c r="B1" s="29"/>
      <c r="C1" s="29"/>
      <c r="D1" s="29"/>
    </row>
    <row r="2" spans="1:11" s="5" customFormat="1" ht="33.75" customHeight="1" x14ac:dyDescent="0.25">
      <c r="A2" s="28" t="s">
        <v>19</v>
      </c>
      <c r="B2" s="28" t="s">
        <v>20</v>
      </c>
      <c r="C2" s="30" t="s">
        <v>21</v>
      </c>
      <c r="D2" s="30"/>
    </row>
    <row r="3" spans="1:11" s="1" customFormat="1" ht="30" customHeight="1" x14ac:dyDescent="0.25">
      <c r="A3" s="24" t="s">
        <v>1</v>
      </c>
      <c r="B3" s="24">
        <v>18</v>
      </c>
      <c r="C3" s="25" cm="1">
        <f t="array" ref="C3:C20">ROUND(F3:F20+50,0)</f>
        <v>540</v>
      </c>
      <c r="D3" s="26"/>
      <c r="E3" s="23" cm="1">
        <f t="array" ref="E3:E20">ROUND(F3:F20+50,0)</f>
        <v>540</v>
      </c>
      <c r="F3" s="4">
        <v>489.72</v>
      </c>
      <c r="G3" s="14"/>
    </row>
    <row r="4" spans="1:11" s="1" customFormat="1" ht="30" customHeight="1" x14ac:dyDescent="0.25">
      <c r="A4" s="24" t="s">
        <v>2</v>
      </c>
      <c r="B4" s="24">
        <v>25</v>
      </c>
      <c r="C4" s="25">
        <v>781</v>
      </c>
      <c r="D4" s="26"/>
      <c r="E4" s="23">
        <v>781</v>
      </c>
      <c r="F4" s="4">
        <v>731.12</v>
      </c>
      <c r="G4" s="14"/>
    </row>
    <row r="5" spans="1:11" s="1" customFormat="1" ht="30" customHeight="1" x14ac:dyDescent="0.25">
      <c r="A5" s="24" t="s">
        <v>3</v>
      </c>
      <c r="B5" s="24">
        <v>22</v>
      </c>
      <c r="C5" s="25">
        <v>549</v>
      </c>
      <c r="D5" s="26"/>
      <c r="E5" s="23">
        <v>549</v>
      </c>
      <c r="F5" s="4">
        <v>499.2</v>
      </c>
      <c r="G5" s="14"/>
    </row>
    <row r="6" spans="1:11" s="1" customFormat="1" ht="30" customHeight="1" x14ac:dyDescent="0.25">
      <c r="A6" s="24" t="s">
        <v>4</v>
      </c>
      <c r="B6" s="24">
        <v>25</v>
      </c>
      <c r="C6" s="25">
        <v>570</v>
      </c>
      <c r="D6" s="26"/>
      <c r="E6" s="23">
        <v>570</v>
      </c>
      <c r="F6" s="4">
        <v>520</v>
      </c>
      <c r="G6" s="14"/>
    </row>
    <row r="7" spans="1:11" s="1" customFormat="1" ht="30" customHeight="1" x14ac:dyDescent="0.25">
      <c r="A7" s="24" t="s">
        <v>5</v>
      </c>
      <c r="B7" s="24">
        <v>25</v>
      </c>
      <c r="C7" s="25">
        <v>492</v>
      </c>
      <c r="D7" s="26"/>
      <c r="E7" s="23">
        <v>492</v>
      </c>
      <c r="F7" s="4">
        <v>442</v>
      </c>
      <c r="G7" s="14"/>
    </row>
    <row r="8" spans="1:11" s="1" customFormat="1" ht="30" customHeight="1" x14ac:dyDescent="0.25">
      <c r="A8" s="24" t="s">
        <v>6</v>
      </c>
      <c r="B8" s="24">
        <v>25</v>
      </c>
      <c r="C8" s="25">
        <v>445</v>
      </c>
      <c r="D8" s="26"/>
      <c r="E8" s="23">
        <v>445</v>
      </c>
      <c r="F8" s="4">
        <v>395.2</v>
      </c>
      <c r="G8" s="14"/>
    </row>
    <row r="9" spans="1:11" s="1" customFormat="1" ht="30" customHeight="1" x14ac:dyDescent="0.25">
      <c r="A9" s="24" t="s">
        <v>7</v>
      </c>
      <c r="B9" s="24">
        <v>25</v>
      </c>
      <c r="C9" s="25">
        <v>446</v>
      </c>
      <c r="D9" s="26"/>
      <c r="E9" s="23">
        <v>446</v>
      </c>
      <c r="F9" s="4">
        <v>396.24</v>
      </c>
      <c r="G9" s="14"/>
    </row>
    <row r="10" spans="1:11" s="1" customFormat="1" ht="30" customHeight="1" x14ac:dyDescent="0.25">
      <c r="A10" s="24" t="s">
        <v>8</v>
      </c>
      <c r="B10" s="24">
        <v>20</v>
      </c>
      <c r="C10" s="25">
        <v>370</v>
      </c>
      <c r="D10" s="26"/>
      <c r="E10" s="23">
        <v>370</v>
      </c>
      <c r="F10" s="4">
        <v>320.32</v>
      </c>
      <c r="G10" s="14"/>
    </row>
    <row r="11" spans="1:11" s="1" customFormat="1" ht="30" customHeight="1" x14ac:dyDescent="0.25">
      <c r="A11" s="24" t="s">
        <v>9</v>
      </c>
      <c r="B11" s="24">
        <v>25</v>
      </c>
      <c r="C11" s="25">
        <v>416</v>
      </c>
      <c r="D11" s="26"/>
      <c r="E11" s="23">
        <v>416</v>
      </c>
      <c r="F11" s="4">
        <v>366.08</v>
      </c>
      <c r="G11" s="14"/>
    </row>
    <row r="12" spans="1:11" s="1" customFormat="1" ht="30" customHeight="1" x14ac:dyDescent="0.25">
      <c r="A12" s="24" t="s">
        <v>10</v>
      </c>
      <c r="B12" s="24">
        <v>20</v>
      </c>
      <c r="C12" s="25">
        <v>289</v>
      </c>
      <c r="D12" s="26"/>
      <c r="E12" s="23">
        <v>289</v>
      </c>
      <c r="F12" s="4">
        <v>239.2</v>
      </c>
      <c r="G12" s="14"/>
    </row>
    <row r="13" spans="1:11" s="1" customFormat="1" ht="30" customHeight="1" x14ac:dyDescent="0.25">
      <c r="A13" s="24" t="s">
        <v>11</v>
      </c>
      <c r="B13" s="24">
        <v>25</v>
      </c>
      <c r="C13" s="25">
        <v>350</v>
      </c>
      <c r="D13" s="26"/>
      <c r="E13" s="23">
        <v>350</v>
      </c>
      <c r="F13" s="4">
        <v>299.52</v>
      </c>
      <c r="G13" s="14"/>
    </row>
    <row r="14" spans="1:11" s="1" customFormat="1" ht="30" customHeight="1" x14ac:dyDescent="0.25">
      <c r="A14" s="24" t="s">
        <v>12</v>
      </c>
      <c r="B14" s="24">
        <v>10</v>
      </c>
      <c r="C14" s="25">
        <v>388</v>
      </c>
      <c r="D14" s="26"/>
      <c r="E14" s="23">
        <v>388</v>
      </c>
      <c r="F14" s="4">
        <v>338</v>
      </c>
      <c r="G14" s="14"/>
    </row>
    <row r="15" spans="1:11" s="1" customFormat="1" ht="30" customHeight="1" x14ac:dyDescent="0.25">
      <c r="A15" s="24" t="s">
        <v>13</v>
      </c>
      <c r="B15" s="24">
        <v>15</v>
      </c>
      <c r="C15" s="25">
        <v>354</v>
      </c>
      <c r="D15" s="26"/>
      <c r="E15" s="23">
        <v>354</v>
      </c>
      <c r="F15" s="4">
        <v>303.68</v>
      </c>
      <c r="G15" s="14"/>
    </row>
    <row r="16" spans="1:11" s="1" customFormat="1" ht="30" customHeight="1" x14ac:dyDescent="0.25">
      <c r="A16" s="24" t="s">
        <v>14</v>
      </c>
      <c r="B16" s="24">
        <v>10</v>
      </c>
      <c r="C16" s="25">
        <v>373</v>
      </c>
      <c r="D16" s="27"/>
      <c r="E16" s="23">
        <v>373</v>
      </c>
      <c r="F16" s="4">
        <v>323.44</v>
      </c>
      <c r="G16" s="14"/>
      <c r="I16" s="3" t="s">
        <v>14</v>
      </c>
      <c r="J16" s="3">
        <v>10</v>
      </c>
      <c r="K16" s="7">
        <f>M16+50</f>
        <v>50</v>
      </c>
    </row>
    <row r="17" spans="1:11" s="1" customFormat="1" ht="30" customHeight="1" x14ac:dyDescent="0.25">
      <c r="A17" s="24" t="s">
        <v>15</v>
      </c>
      <c r="B17" s="24">
        <v>4</v>
      </c>
      <c r="C17" s="25">
        <v>220</v>
      </c>
      <c r="D17" s="27"/>
      <c r="E17" s="23">
        <v>220</v>
      </c>
      <c r="F17" s="4">
        <v>169.52</v>
      </c>
      <c r="G17" s="14"/>
      <c r="I17" s="3" t="s">
        <v>15</v>
      </c>
      <c r="J17" s="3">
        <v>4</v>
      </c>
      <c r="K17" s="7">
        <f>M17+50</f>
        <v>50</v>
      </c>
    </row>
    <row r="18" spans="1:11" s="1" customFormat="1" ht="30" customHeight="1" x14ac:dyDescent="0.25">
      <c r="A18" s="24" t="s">
        <v>16</v>
      </c>
      <c r="B18" s="24">
        <v>10</v>
      </c>
      <c r="C18" s="25">
        <v>373</v>
      </c>
      <c r="D18" s="27"/>
      <c r="E18" s="23">
        <v>373</v>
      </c>
      <c r="F18" s="4">
        <v>323.44</v>
      </c>
      <c r="G18" s="14"/>
      <c r="I18" s="3" t="s">
        <v>16</v>
      </c>
      <c r="J18" s="3">
        <v>10</v>
      </c>
      <c r="K18" s="7">
        <f>M18+50</f>
        <v>50</v>
      </c>
    </row>
    <row r="19" spans="1:11" s="1" customFormat="1" ht="30" customHeight="1" x14ac:dyDescent="0.25">
      <c r="A19" s="24" t="s">
        <v>17</v>
      </c>
      <c r="B19" s="24">
        <v>4</v>
      </c>
      <c r="C19" s="25">
        <v>229</v>
      </c>
      <c r="D19" s="27"/>
      <c r="E19" s="23">
        <v>229</v>
      </c>
      <c r="F19" s="4">
        <v>178.88</v>
      </c>
      <c r="G19" s="14"/>
      <c r="I19" s="3" t="s">
        <v>17</v>
      </c>
      <c r="J19" s="3">
        <v>4</v>
      </c>
      <c r="K19" s="7">
        <f>M19+50</f>
        <v>50</v>
      </c>
    </row>
    <row r="20" spans="1:11" s="1" customFormat="1" ht="30" customHeight="1" x14ac:dyDescent="0.25">
      <c r="A20" s="24" t="s">
        <v>18</v>
      </c>
      <c r="B20" s="24">
        <v>4</v>
      </c>
      <c r="C20" s="25">
        <v>264</v>
      </c>
      <c r="D20" s="27"/>
      <c r="E20" s="23">
        <v>264</v>
      </c>
      <c r="F20" s="4">
        <v>214.24</v>
      </c>
      <c r="G20" s="14"/>
      <c r="I20" s="3" t="s">
        <v>18</v>
      </c>
      <c r="J20" s="3">
        <v>4</v>
      </c>
      <c r="K20" s="7">
        <f>M20+50</f>
        <v>50</v>
      </c>
    </row>
    <row r="21" spans="1:11" s="1" customFormat="1" ht="25.15" customHeight="1" x14ac:dyDescent="0.25">
      <c r="A21" s="2"/>
      <c r="B21" s="2"/>
      <c r="C21" s="2"/>
      <c r="D21" s="2"/>
    </row>
    <row r="22" spans="1:11" s="1" customFormat="1" ht="25.15" customHeight="1" x14ac:dyDescent="0.25">
      <c r="A22" s="2"/>
      <c r="B22" s="2"/>
      <c r="C22" s="2"/>
      <c r="D22" s="2"/>
    </row>
    <row r="23" spans="1:11" s="1" customFormat="1" ht="25.15" customHeight="1" x14ac:dyDescent="0.25">
      <c r="A23" s="2"/>
      <c r="B23" s="2"/>
      <c r="C23" s="2"/>
      <c r="D23" s="2"/>
    </row>
    <row r="24" spans="1:11" s="1" customFormat="1" ht="25.15" customHeight="1" x14ac:dyDescent="0.25">
      <c r="A24" s="2"/>
      <c r="B24" s="2"/>
      <c r="C24" s="2"/>
      <c r="D24" s="2"/>
    </row>
    <row r="25" spans="1:11" s="1" customFormat="1" ht="25.15" customHeight="1" x14ac:dyDescent="0.25">
      <c r="A25" s="2"/>
      <c r="B25" s="2"/>
      <c r="C25" s="2"/>
      <c r="D25" s="2"/>
    </row>
    <row r="26" spans="1:11" s="1" customFormat="1" ht="25.15" customHeight="1" x14ac:dyDescent="0.25">
      <c r="A26" s="2"/>
      <c r="B26" s="2"/>
      <c r="C26" s="2"/>
      <c r="D26" s="2"/>
    </row>
    <row r="27" spans="1:11" s="1" customFormat="1" ht="25.15" customHeight="1" x14ac:dyDescent="0.25">
      <c r="A27" s="2"/>
      <c r="B27" s="2"/>
      <c r="C27" s="2"/>
      <c r="D27" s="2"/>
    </row>
    <row r="28" spans="1:11" s="1" customFormat="1" ht="25.15" customHeight="1" x14ac:dyDescent="0.25">
      <c r="A28" s="2"/>
      <c r="B28" s="2"/>
      <c r="C28" s="2"/>
      <c r="D28" s="2"/>
    </row>
    <row r="29" spans="1:11" s="1" customFormat="1" ht="25.15" customHeight="1" x14ac:dyDescent="0.25">
      <c r="A29" s="2"/>
      <c r="B29" s="2"/>
      <c r="C29" s="2"/>
      <c r="D29" s="2"/>
    </row>
    <row r="30" spans="1:11" s="1" customFormat="1" ht="25.15" customHeight="1" x14ac:dyDescent="0.25">
      <c r="A30" s="2"/>
      <c r="B30" s="2"/>
      <c r="C30" s="2"/>
      <c r="D30" s="2"/>
    </row>
  </sheetData>
  <mergeCells count="2">
    <mergeCell ref="A1:D1"/>
    <mergeCell ref="C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5C18-9A37-451F-928B-6126E285B387}">
  <dimension ref="A1:K30"/>
  <sheetViews>
    <sheetView workbookViewId="0">
      <selection activeCell="C14" sqref="C14"/>
    </sheetView>
  </sheetViews>
  <sheetFormatPr baseColWidth="10" defaultRowHeight="15" x14ac:dyDescent="0.25"/>
  <cols>
    <col min="1" max="1" width="41.28515625" customWidth="1"/>
    <col min="2" max="2" width="12.5703125" customWidth="1"/>
    <col min="3" max="4" width="15.7109375" customWidth="1"/>
  </cols>
  <sheetData>
    <row r="1" spans="1:11" s="1" customFormat="1" ht="34.15" customHeight="1" x14ac:dyDescent="0.25">
      <c r="A1" s="31" t="s">
        <v>0</v>
      </c>
      <c r="B1" s="31"/>
      <c r="C1" s="31"/>
      <c r="D1" s="31"/>
    </row>
    <row r="2" spans="1:11" s="5" customFormat="1" ht="28.15" customHeight="1" x14ac:dyDescent="0.25">
      <c r="A2" s="6" t="s">
        <v>19</v>
      </c>
      <c r="B2" s="6" t="s">
        <v>20</v>
      </c>
      <c r="C2" s="32" t="s">
        <v>21</v>
      </c>
      <c r="D2" s="32"/>
    </row>
    <row r="3" spans="1:11" s="1" customFormat="1" ht="25.15" customHeight="1" x14ac:dyDescent="0.25">
      <c r="A3" s="8" t="str">
        <f>Menudeo!A3</f>
        <v>HOUND ADULTO 15 + 3 KG</v>
      </c>
      <c r="B3" s="8">
        <f>Menudeo!B3</f>
        <v>18</v>
      </c>
      <c r="C3" s="9">
        <f>F3+35</f>
        <v>524.72</v>
      </c>
      <c r="D3" s="10"/>
      <c r="F3" s="4">
        <f>Menudeo!F3</f>
        <v>489.72</v>
      </c>
    </row>
    <row r="4" spans="1:11" s="1" customFormat="1" ht="25.15" customHeight="1" x14ac:dyDescent="0.25">
      <c r="A4" s="8" t="str">
        <f>Menudeo!A4</f>
        <v>HOUND CACHORRO 20+5 KG</v>
      </c>
      <c r="B4" s="8">
        <f>Menudeo!B4</f>
        <v>25</v>
      </c>
      <c r="C4" s="9">
        <f t="shared" ref="C4:C20" si="0">F4+35</f>
        <v>766.12</v>
      </c>
      <c r="D4" s="10"/>
      <c r="F4" s="4">
        <f>Menudeo!F4</f>
        <v>731.12</v>
      </c>
    </row>
    <row r="5" spans="1:11" s="1" customFormat="1" ht="25.15" customHeight="1" x14ac:dyDescent="0.25">
      <c r="A5" s="8" t="str">
        <f>Menudeo!A5</f>
        <v>CANNES CACHORRO 20+2 kg</v>
      </c>
      <c r="B5" s="8">
        <f>Menudeo!B5</f>
        <v>22</v>
      </c>
      <c r="C5" s="9">
        <f t="shared" si="0"/>
        <v>534.20000000000005</v>
      </c>
      <c r="D5" s="10"/>
      <c r="F5" s="4">
        <f>Menudeo!F5</f>
        <v>499.2</v>
      </c>
    </row>
    <row r="6" spans="1:11" s="1" customFormat="1" ht="25.15" customHeight="1" x14ac:dyDescent="0.25">
      <c r="A6" s="8" t="str">
        <f>Menudeo!A6</f>
        <v>CANNES ADULTO 25 kg</v>
      </c>
      <c r="B6" s="8">
        <f>Menudeo!B6</f>
        <v>25</v>
      </c>
      <c r="C6" s="9">
        <f t="shared" si="0"/>
        <v>555</v>
      </c>
      <c r="D6" s="10"/>
      <c r="F6" s="4">
        <f>Menudeo!F6</f>
        <v>520</v>
      </c>
    </row>
    <row r="7" spans="1:11" s="1" customFormat="1" ht="25.15" customHeight="1" x14ac:dyDescent="0.25">
      <c r="A7" s="8" t="str">
        <f>Menudeo!A7</f>
        <v>ENERGY DOG 25 KG</v>
      </c>
      <c r="B7" s="8">
        <f>Menudeo!B7</f>
        <v>25</v>
      </c>
      <c r="C7" s="9">
        <f t="shared" si="0"/>
        <v>477</v>
      </c>
      <c r="D7" s="10"/>
      <c r="F7" s="4">
        <f>Menudeo!F7</f>
        <v>442</v>
      </c>
    </row>
    <row r="8" spans="1:11" s="1" customFormat="1" ht="25.15" customHeight="1" x14ac:dyDescent="0.25">
      <c r="A8" s="8" t="str">
        <f>Menudeo!A8</f>
        <v>KAN PLUS 25 KG</v>
      </c>
      <c r="B8" s="8">
        <f>Menudeo!B8</f>
        <v>25</v>
      </c>
      <c r="C8" s="9">
        <f t="shared" si="0"/>
        <v>430.2</v>
      </c>
      <c r="D8" s="10"/>
      <c r="F8" s="4">
        <f>Menudeo!F8</f>
        <v>395.2</v>
      </c>
    </row>
    <row r="9" spans="1:11" s="1" customFormat="1" ht="25.15" customHeight="1" x14ac:dyDescent="0.25">
      <c r="A9" s="8" t="str">
        <f>Menudeo!A9</f>
        <v>ESENCIAL 25 KG</v>
      </c>
      <c r="B9" s="8">
        <f>Menudeo!B9</f>
        <v>25</v>
      </c>
      <c r="C9" s="9">
        <f t="shared" si="0"/>
        <v>431.24</v>
      </c>
      <c r="D9" s="10"/>
      <c r="F9" s="4">
        <f>Menudeo!F9</f>
        <v>396.24</v>
      </c>
    </row>
    <row r="10" spans="1:11" s="1" customFormat="1" ht="25.15" customHeight="1" x14ac:dyDescent="0.25">
      <c r="A10" s="8" t="str">
        <f>Menudeo!A10</f>
        <v>SIMPLE 20 KG</v>
      </c>
      <c r="B10" s="8">
        <f>Menudeo!B10</f>
        <v>20</v>
      </c>
      <c r="C10" s="9">
        <f t="shared" si="0"/>
        <v>355.32</v>
      </c>
      <c r="D10" s="10"/>
      <c r="F10" s="4">
        <f>Menudeo!F10</f>
        <v>320.32</v>
      </c>
    </row>
    <row r="11" spans="1:11" s="1" customFormat="1" ht="25.15" customHeight="1" x14ac:dyDescent="0.25">
      <c r="A11" s="8" t="str">
        <f>Menudeo!A11</f>
        <v>SIMPLE 25 KG</v>
      </c>
      <c r="B11" s="8">
        <f>Menudeo!B11</f>
        <v>25</v>
      </c>
      <c r="C11" s="9">
        <f t="shared" si="0"/>
        <v>401.08</v>
      </c>
      <c r="D11" s="10"/>
      <c r="F11" s="4">
        <f>Menudeo!F11</f>
        <v>366.08</v>
      </c>
    </row>
    <row r="12" spans="1:11" s="1" customFormat="1" ht="25.15" customHeight="1" x14ac:dyDescent="0.25">
      <c r="A12" s="8" t="str">
        <f>Menudeo!A12</f>
        <v>WINNERS MANTTO 20 KG</v>
      </c>
      <c r="B12" s="8">
        <f>Menudeo!B12</f>
        <v>20</v>
      </c>
      <c r="C12" s="9">
        <f t="shared" si="0"/>
        <v>274.2</v>
      </c>
      <c r="D12" s="10"/>
      <c r="F12" s="4">
        <f>Menudeo!F12</f>
        <v>239.2</v>
      </c>
    </row>
    <row r="13" spans="1:11" s="1" customFormat="1" ht="25.15" customHeight="1" x14ac:dyDescent="0.25">
      <c r="A13" s="8" t="str">
        <f>Menudeo!A13</f>
        <v>WINNERS MANTTO 25 KG</v>
      </c>
      <c r="B13" s="8">
        <f>Menudeo!B13</f>
        <v>25</v>
      </c>
      <c r="C13" s="9">
        <f t="shared" si="0"/>
        <v>334.52</v>
      </c>
      <c r="D13" s="10"/>
      <c r="F13" s="4">
        <f>Menudeo!F13</f>
        <v>299.52</v>
      </c>
    </row>
    <row r="14" spans="1:11" s="1" customFormat="1" ht="25.15" customHeight="1" x14ac:dyDescent="0.25">
      <c r="A14" s="8" t="str">
        <f>Menudeo!A14</f>
        <v>CAT LIKE 10 KG</v>
      </c>
      <c r="B14" s="8">
        <f>Menudeo!B14</f>
        <v>10</v>
      </c>
      <c r="C14" s="9">
        <f t="shared" si="0"/>
        <v>373</v>
      </c>
      <c r="D14" s="10"/>
      <c r="F14" s="4">
        <f>Menudeo!F14</f>
        <v>338</v>
      </c>
    </row>
    <row r="15" spans="1:11" s="1" customFormat="1" ht="25.15" customHeight="1" x14ac:dyDescent="0.25">
      <c r="A15" s="8" t="str">
        <f>Menudeo!A15</f>
        <v>CAT MANTTO 15 KG</v>
      </c>
      <c r="B15" s="8">
        <f>Menudeo!B15</f>
        <v>15</v>
      </c>
      <c r="C15" s="9">
        <f t="shared" si="0"/>
        <v>338.68</v>
      </c>
      <c r="D15" s="10"/>
      <c r="F15" s="4">
        <f>Menudeo!F15</f>
        <v>303.68</v>
      </c>
    </row>
    <row r="16" spans="1:11" s="1" customFormat="1" ht="25.15" customHeight="1" x14ac:dyDescent="0.25">
      <c r="A16" s="8" t="str">
        <f>Menudeo!A16</f>
        <v>HOUND ADULTO 10 KG</v>
      </c>
      <c r="B16" s="8">
        <f>Menudeo!B16</f>
        <v>10</v>
      </c>
      <c r="C16" s="9">
        <f t="shared" si="0"/>
        <v>358.44</v>
      </c>
      <c r="D16" s="9"/>
      <c r="F16" s="4">
        <f>Menudeo!F16</f>
        <v>323.44</v>
      </c>
      <c r="I16" s="3" t="s">
        <v>14</v>
      </c>
      <c r="J16" s="3">
        <v>10</v>
      </c>
      <c r="K16" s="7">
        <f>M16+50</f>
        <v>50</v>
      </c>
    </row>
    <row r="17" spans="1:11" s="1" customFormat="1" ht="25.15" customHeight="1" x14ac:dyDescent="0.25">
      <c r="A17" s="8" t="str">
        <f>Menudeo!A17</f>
        <v>HOUND ADULTO 4 KG</v>
      </c>
      <c r="B17" s="8">
        <f>Menudeo!B17</f>
        <v>4</v>
      </c>
      <c r="C17" s="9">
        <f t="shared" si="0"/>
        <v>204.52</v>
      </c>
      <c r="D17" s="9"/>
      <c r="F17" s="4">
        <f>Menudeo!F17</f>
        <v>169.52</v>
      </c>
      <c r="I17" s="3" t="s">
        <v>15</v>
      </c>
      <c r="J17" s="3">
        <v>4</v>
      </c>
      <c r="K17" s="7">
        <f>M17+50</f>
        <v>50</v>
      </c>
    </row>
    <row r="18" spans="1:11" s="1" customFormat="1" ht="25.15" customHeight="1" x14ac:dyDescent="0.25">
      <c r="A18" s="8" t="str">
        <f>Menudeo!A18</f>
        <v>HOUND CACHORRO 10 KG</v>
      </c>
      <c r="B18" s="8">
        <f>Menudeo!B18</f>
        <v>10</v>
      </c>
      <c r="C18" s="9">
        <f t="shared" si="0"/>
        <v>358.44</v>
      </c>
      <c r="D18" s="9"/>
      <c r="F18" s="4">
        <f>Menudeo!F18</f>
        <v>323.44</v>
      </c>
      <c r="I18" s="3" t="s">
        <v>16</v>
      </c>
      <c r="J18" s="3">
        <v>10</v>
      </c>
      <c r="K18" s="7">
        <f>M18+50</f>
        <v>50</v>
      </c>
    </row>
    <row r="19" spans="1:11" s="1" customFormat="1" ht="25.15" customHeight="1" x14ac:dyDescent="0.25">
      <c r="A19" s="8" t="str">
        <f>Menudeo!A19</f>
        <v>HOUND CACHORRO 4 KG</v>
      </c>
      <c r="B19" s="8">
        <f>Menudeo!B19</f>
        <v>4</v>
      </c>
      <c r="C19" s="9">
        <f t="shared" si="0"/>
        <v>213.88</v>
      </c>
      <c r="D19" s="9"/>
      <c r="F19" s="4">
        <f>Menudeo!F19</f>
        <v>178.88</v>
      </c>
      <c r="I19" s="3" t="s">
        <v>17</v>
      </c>
      <c r="J19" s="3">
        <v>4</v>
      </c>
      <c r="K19" s="7">
        <f>M19+50</f>
        <v>50</v>
      </c>
    </row>
    <row r="20" spans="1:11" s="1" customFormat="1" ht="25.15" customHeight="1" x14ac:dyDescent="0.25">
      <c r="A20" s="8" t="str">
        <f>Menudeo!A20</f>
        <v>CAT LIKE 4 KG</v>
      </c>
      <c r="B20" s="8">
        <f>Menudeo!B20</f>
        <v>4</v>
      </c>
      <c r="C20" s="9">
        <f t="shared" si="0"/>
        <v>249.24</v>
      </c>
      <c r="D20" s="9"/>
      <c r="F20" s="4">
        <f>Menudeo!F20</f>
        <v>214.24</v>
      </c>
      <c r="I20" s="3" t="s">
        <v>18</v>
      </c>
      <c r="J20" s="3">
        <v>4</v>
      </c>
      <c r="K20" s="7">
        <f>M20+50</f>
        <v>50</v>
      </c>
    </row>
    <row r="21" spans="1:11" s="1" customFormat="1" ht="25.15" customHeight="1" x14ac:dyDescent="0.25">
      <c r="A21" s="2"/>
      <c r="B21" s="2"/>
      <c r="C21" s="2"/>
      <c r="D21" s="2"/>
    </row>
    <row r="22" spans="1:11" s="1" customFormat="1" ht="25.15" customHeight="1" x14ac:dyDescent="0.25">
      <c r="A22" s="2"/>
      <c r="B22" s="2"/>
      <c r="C22" s="2"/>
      <c r="D22" s="2"/>
    </row>
    <row r="23" spans="1:11" s="1" customFormat="1" ht="25.15" customHeight="1" x14ac:dyDescent="0.25">
      <c r="A23" s="2"/>
      <c r="B23" s="2"/>
      <c r="C23" s="2"/>
      <c r="D23" s="2"/>
    </row>
    <row r="24" spans="1:11" s="1" customFormat="1" ht="25.15" customHeight="1" x14ac:dyDescent="0.25">
      <c r="A24" s="2"/>
      <c r="B24" s="2"/>
      <c r="C24" s="2"/>
      <c r="D24" s="2"/>
    </row>
    <row r="25" spans="1:11" s="1" customFormat="1" ht="25.15" customHeight="1" x14ac:dyDescent="0.25">
      <c r="A25" s="2"/>
      <c r="B25" s="2"/>
      <c r="C25" s="2"/>
      <c r="D25" s="2"/>
    </row>
    <row r="26" spans="1:11" s="1" customFormat="1" ht="25.15" customHeight="1" x14ac:dyDescent="0.25">
      <c r="A26" s="2"/>
      <c r="B26" s="2"/>
      <c r="C26" s="2"/>
      <c r="D26" s="2"/>
    </row>
    <row r="27" spans="1:11" s="1" customFormat="1" ht="25.15" customHeight="1" x14ac:dyDescent="0.25">
      <c r="A27" s="2"/>
      <c r="B27" s="2"/>
      <c r="C27" s="2"/>
      <c r="D27" s="2"/>
    </row>
    <row r="28" spans="1:11" s="1" customFormat="1" ht="25.15" customHeight="1" x14ac:dyDescent="0.25">
      <c r="A28" s="2"/>
      <c r="B28" s="2"/>
      <c r="C28" s="2"/>
      <c r="D28" s="2"/>
    </row>
    <row r="29" spans="1:11" s="1" customFormat="1" ht="25.15" customHeight="1" x14ac:dyDescent="0.25">
      <c r="A29" s="2"/>
      <c r="B29" s="2"/>
      <c r="C29" s="2"/>
      <c r="D29" s="2"/>
    </row>
    <row r="30" spans="1:11" s="1" customFormat="1" ht="25.15" customHeight="1" x14ac:dyDescent="0.25">
      <c r="A30" s="2"/>
      <c r="B30" s="2"/>
      <c r="C30" s="2"/>
      <c r="D30" s="2"/>
    </row>
  </sheetData>
  <mergeCells count="2">
    <mergeCell ref="A1:D1"/>
    <mergeCell ref="C2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94D2-42F8-44B3-8CDB-DC5EF3A0D302}">
  <dimension ref="B1:R33"/>
  <sheetViews>
    <sheetView showGridLines="0" tabSelected="1" workbookViewId="0">
      <selection activeCell="M4" sqref="M4"/>
    </sheetView>
  </sheetViews>
  <sheetFormatPr baseColWidth="10" defaultRowHeight="15" x14ac:dyDescent="0.25"/>
  <cols>
    <col min="1" max="1" width="11.5703125" customWidth="1"/>
    <col min="2" max="2" width="9.42578125" customWidth="1"/>
    <col min="3" max="3" width="37.42578125" customWidth="1"/>
    <col min="4" max="4" width="7.5703125" customWidth="1"/>
    <col min="5" max="5" width="14.85546875" customWidth="1"/>
    <col min="6" max="6" width="15.7109375" customWidth="1"/>
  </cols>
  <sheetData>
    <row r="1" spans="2:9" s="1" customFormat="1" ht="34.15" customHeight="1" x14ac:dyDescent="0.25">
      <c r="B1" s="35" t="s">
        <v>0</v>
      </c>
      <c r="C1" s="36"/>
      <c r="D1" s="36"/>
      <c r="E1" s="36"/>
      <c r="F1" s="37"/>
    </row>
    <row r="2" spans="2:9" s="5" customFormat="1" ht="28.15" customHeight="1" x14ac:dyDescent="0.25">
      <c r="B2" s="13" t="s">
        <v>22</v>
      </c>
      <c r="C2" s="6" t="s">
        <v>19</v>
      </c>
      <c r="D2" s="6" t="s">
        <v>20</v>
      </c>
      <c r="E2" s="6" t="s">
        <v>21</v>
      </c>
      <c r="F2" s="6" t="s">
        <v>24</v>
      </c>
    </row>
    <row r="3" spans="2:9" s="1" customFormat="1" ht="25.15" customHeight="1" x14ac:dyDescent="0.25">
      <c r="B3" s="8"/>
      <c r="C3" s="8" t="s">
        <v>1</v>
      </c>
      <c r="D3" s="8">
        <v>18</v>
      </c>
      <c r="E3" s="9">
        <f>H3+25</f>
        <v>514.72</v>
      </c>
      <c r="F3" s="15">
        <f>E3*B3</f>
        <v>0</v>
      </c>
      <c r="H3" s="4">
        <f>Menudeo!F3</f>
        <v>489.72</v>
      </c>
      <c r="I3" s="19">
        <v>475</v>
      </c>
    </row>
    <row r="4" spans="2:9" s="1" customFormat="1" ht="25.15" customHeight="1" x14ac:dyDescent="0.25">
      <c r="B4" s="8">
        <v>1</v>
      </c>
      <c r="C4" s="8" t="s">
        <v>2</v>
      </c>
      <c r="D4" s="8">
        <v>25</v>
      </c>
      <c r="E4" s="9">
        <f t="shared" ref="E4:E18" si="0">H4+25</f>
        <v>756.12</v>
      </c>
      <c r="F4" s="15">
        <f t="shared" ref="F4:F18" si="1">E4*B4</f>
        <v>756.12</v>
      </c>
      <c r="H4" s="4">
        <f>Menudeo!F4</f>
        <v>731.12</v>
      </c>
      <c r="I4" s="19">
        <v>703</v>
      </c>
    </row>
    <row r="5" spans="2:9" s="1" customFormat="1" ht="25.15" customHeight="1" x14ac:dyDescent="0.25">
      <c r="B5" s="8">
        <v>3</v>
      </c>
      <c r="C5" s="8" t="s">
        <v>3</v>
      </c>
      <c r="D5" s="8">
        <v>22</v>
      </c>
      <c r="E5" s="9">
        <f t="shared" si="0"/>
        <v>524.20000000000005</v>
      </c>
      <c r="F5" s="15">
        <f t="shared" si="1"/>
        <v>1572.6000000000001</v>
      </c>
      <c r="H5" s="4">
        <f>Menudeo!F5</f>
        <v>499.2</v>
      </c>
      <c r="I5" s="19">
        <v>480</v>
      </c>
    </row>
    <row r="6" spans="2:9" s="1" customFormat="1" ht="25.15" customHeight="1" x14ac:dyDescent="0.25">
      <c r="B6" s="8">
        <v>2</v>
      </c>
      <c r="C6" s="8" t="s">
        <v>4</v>
      </c>
      <c r="D6" s="8">
        <v>25</v>
      </c>
      <c r="E6" s="9">
        <f t="shared" si="0"/>
        <v>545</v>
      </c>
      <c r="F6" s="15">
        <f t="shared" si="1"/>
        <v>1090</v>
      </c>
      <c r="H6" s="4">
        <f>Menudeo!F6</f>
        <v>520</v>
      </c>
      <c r="I6" s="19">
        <v>500</v>
      </c>
    </row>
    <row r="7" spans="2:9" s="1" customFormat="1" ht="25.15" customHeight="1" x14ac:dyDescent="0.25">
      <c r="B7" s="8">
        <v>3</v>
      </c>
      <c r="C7" s="8" t="s">
        <v>5</v>
      </c>
      <c r="D7" s="8">
        <v>25</v>
      </c>
      <c r="E7" s="9">
        <f t="shared" si="0"/>
        <v>467</v>
      </c>
      <c r="F7" s="15">
        <f t="shared" si="1"/>
        <v>1401</v>
      </c>
      <c r="H7" s="4">
        <f>Menudeo!F7</f>
        <v>442</v>
      </c>
      <c r="I7" s="19">
        <v>425</v>
      </c>
    </row>
    <row r="8" spans="2:9" s="1" customFormat="1" ht="25.15" customHeight="1" x14ac:dyDescent="0.25">
      <c r="B8" s="8">
        <v>2</v>
      </c>
      <c r="C8" s="8" t="s">
        <v>6</v>
      </c>
      <c r="D8" s="8">
        <v>25</v>
      </c>
      <c r="E8" s="9">
        <f t="shared" si="0"/>
        <v>420.2</v>
      </c>
      <c r="F8" s="15">
        <f t="shared" si="1"/>
        <v>840.4</v>
      </c>
      <c r="H8" s="4">
        <f>Menudeo!F8</f>
        <v>395.2</v>
      </c>
      <c r="I8" s="19">
        <v>380</v>
      </c>
    </row>
    <row r="9" spans="2:9" s="1" customFormat="1" ht="25.15" customHeight="1" x14ac:dyDescent="0.25">
      <c r="B9" s="8">
        <v>2</v>
      </c>
      <c r="C9" s="8" t="s">
        <v>7</v>
      </c>
      <c r="D9" s="8">
        <v>25</v>
      </c>
      <c r="E9" s="9">
        <f t="shared" si="0"/>
        <v>421.24</v>
      </c>
      <c r="F9" s="15">
        <f t="shared" si="1"/>
        <v>842.48</v>
      </c>
      <c r="H9" s="4">
        <f>Menudeo!F9</f>
        <v>396.24</v>
      </c>
      <c r="I9" s="19">
        <v>381</v>
      </c>
    </row>
    <row r="10" spans="2:9" s="1" customFormat="1" ht="25.15" customHeight="1" x14ac:dyDescent="0.25">
      <c r="B10" s="8"/>
      <c r="C10" s="8" t="s">
        <v>8</v>
      </c>
      <c r="D10" s="8">
        <v>20</v>
      </c>
      <c r="E10" s="9">
        <f t="shared" si="0"/>
        <v>345.32</v>
      </c>
      <c r="F10" s="15">
        <f t="shared" si="1"/>
        <v>0</v>
      </c>
      <c r="H10" s="4">
        <f>Menudeo!F10</f>
        <v>320.32</v>
      </c>
      <c r="I10" s="19">
        <v>308</v>
      </c>
    </row>
    <row r="11" spans="2:9" s="1" customFormat="1" ht="25.15" customHeight="1" x14ac:dyDescent="0.25">
      <c r="B11" s="8"/>
      <c r="C11" s="8" t="s">
        <v>9</v>
      </c>
      <c r="D11" s="8">
        <v>25</v>
      </c>
      <c r="E11" s="9">
        <f t="shared" si="0"/>
        <v>391.08</v>
      </c>
      <c r="F11" s="15">
        <f t="shared" si="1"/>
        <v>0</v>
      </c>
      <c r="H11" s="4">
        <f>Menudeo!F11</f>
        <v>366.08</v>
      </c>
      <c r="I11" s="19">
        <v>352</v>
      </c>
    </row>
    <row r="12" spans="2:9" s="1" customFormat="1" ht="25.15" customHeight="1" x14ac:dyDescent="0.25">
      <c r="B12" s="8"/>
      <c r="C12" s="8" t="s">
        <v>10</v>
      </c>
      <c r="D12" s="8">
        <v>20</v>
      </c>
      <c r="E12" s="9">
        <f t="shared" si="0"/>
        <v>264.2</v>
      </c>
      <c r="F12" s="15">
        <f t="shared" si="1"/>
        <v>0</v>
      </c>
      <c r="H12" s="4">
        <f>Menudeo!F12</f>
        <v>239.2</v>
      </c>
      <c r="I12" s="19">
        <v>230</v>
      </c>
    </row>
    <row r="13" spans="2:9" s="1" customFormat="1" ht="25.15" customHeight="1" x14ac:dyDescent="0.25">
      <c r="B13" s="8"/>
      <c r="C13" s="8" t="s">
        <v>11</v>
      </c>
      <c r="D13" s="8">
        <v>25</v>
      </c>
      <c r="E13" s="9">
        <f t="shared" si="0"/>
        <v>324.52</v>
      </c>
      <c r="F13" s="15">
        <f t="shared" si="1"/>
        <v>0</v>
      </c>
      <c r="H13" s="4">
        <f>Menudeo!F13</f>
        <v>299.52</v>
      </c>
      <c r="I13" s="19">
        <v>288</v>
      </c>
    </row>
    <row r="14" spans="2:9" s="1" customFormat="1" ht="25.15" customHeight="1" x14ac:dyDescent="0.25">
      <c r="B14" s="8">
        <v>2</v>
      </c>
      <c r="C14" s="8" t="s">
        <v>12</v>
      </c>
      <c r="D14" s="8">
        <v>10</v>
      </c>
      <c r="E14" s="9">
        <f t="shared" si="0"/>
        <v>363</v>
      </c>
      <c r="F14" s="15">
        <f t="shared" si="1"/>
        <v>726</v>
      </c>
      <c r="H14" s="4">
        <f>Menudeo!F14</f>
        <v>338</v>
      </c>
      <c r="I14" s="19">
        <v>325</v>
      </c>
    </row>
    <row r="15" spans="2:9" s="1" customFormat="1" ht="25.15" customHeight="1" x14ac:dyDescent="0.25">
      <c r="B15" s="8"/>
      <c r="C15" s="8" t="s">
        <v>13</v>
      </c>
      <c r="D15" s="8">
        <v>15</v>
      </c>
      <c r="E15" s="9">
        <f t="shared" si="0"/>
        <v>328.68</v>
      </c>
      <c r="F15" s="15">
        <f t="shared" si="1"/>
        <v>0</v>
      </c>
      <c r="H15" s="4">
        <f>Menudeo!F15</f>
        <v>303.68</v>
      </c>
      <c r="I15" s="19">
        <v>292</v>
      </c>
    </row>
    <row r="16" spans="2:9" s="1" customFormat="1" ht="25.15" customHeight="1" x14ac:dyDescent="0.25">
      <c r="B16" s="8"/>
      <c r="C16" s="8" t="s">
        <v>15</v>
      </c>
      <c r="D16" s="8">
        <v>4</v>
      </c>
      <c r="E16" s="9">
        <f t="shared" si="0"/>
        <v>194.52</v>
      </c>
      <c r="F16" s="15">
        <f t="shared" si="1"/>
        <v>0</v>
      </c>
      <c r="H16" s="4">
        <f>Menudeo!F17</f>
        <v>169.52</v>
      </c>
      <c r="I16" s="21">
        <v>163</v>
      </c>
    </row>
    <row r="17" spans="2:18" s="1" customFormat="1" ht="25.15" customHeight="1" x14ac:dyDescent="0.25">
      <c r="B17" s="8"/>
      <c r="C17" s="8" t="s">
        <v>17</v>
      </c>
      <c r="D17" s="8">
        <v>4</v>
      </c>
      <c r="E17" s="9">
        <f t="shared" si="0"/>
        <v>203.88</v>
      </c>
      <c r="F17" s="15">
        <f t="shared" si="1"/>
        <v>0</v>
      </c>
      <c r="H17" s="4">
        <f>Menudeo!F19</f>
        <v>178.88</v>
      </c>
      <c r="I17" s="21">
        <v>172</v>
      </c>
    </row>
    <row r="18" spans="2:18" s="1" customFormat="1" ht="25.15" customHeight="1" thickBot="1" x14ac:dyDescent="0.3">
      <c r="B18" s="8"/>
      <c r="C18" s="8" t="s">
        <v>18</v>
      </c>
      <c r="D18" s="8">
        <v>4</v>
      </c>
      <c r="E18" s="9">
        <f t="shared" si="0"/>
        <v>239.24</v>
      </c>
      <c r="F18" s="15">
        <f t="shared" si="1"/>
        <v>0</v>
      </c>
      <c r="H18" s="4">
        <f>Menudeo!F20</f>
        <v>214.24</v>
      </c>
      <c r="I18" s="22">
        <v>206</v>
      </c>
    </row>
    <row r="19" spans="2:18" s="1" customFormat="1" ht="25.15" customHeight="1" x14ac:dyDescent="0.25">
      <c r="B19" s="11"/>
      <c r="C19" s="11"/>
      <c r="D19" s="33" t="s">
        <v>23</v>
      </c>
      <c r="E19" s="34"/>
      <c r="F19" s="9">
        <f>SUM(F3:F15)</f>
        <v>7228.6</v>
      </c>
      <c r="K19" s="17"/>
      <c r="L19" s="17"/>
      <c r="M19" s="18"/>
    </row>
    <row r="20" spans="2:18" s="1" customFormat="1" ht="25.15" customHeight="1" x14ac:dyDescent="0.25">
      <c r="B20" s="11"/>
      <c r="C20" s="11"/>
      <c r="D20" s="11"/>
      <c r="E20" s="11"/>
      <c r="F20" s="12"/>
      <c r="K20" s="8"/>
      <c r="L20" s="8" t="s">
        <v>14</v>
      </c>
      <c r="M20" s="8">
        <v>10</v>
      </c>
      <c r="N20" s="9">
        <f t="shared" ref="N20" si="2">Q20+25</f>
        <v>25</v>
      </c>
      <c r="O20" s="15">
        <f t="shared" ref="O20" si="3">N20*K20</f>
        <v>0</v>
      </c>
      <c r="Q20" s="4">
        <f>Menudeo!O22</f>
        <v>0</v>
      </c>
      <c r="R20" s="20">
        <v>311</v>
      </c>
    </row>
    <row r="21" spans="2:18" s="1" customFormat="1" ht="25.15" customHeight="1" x14ac:dyDescent="0.25">
      <c r="B21" s="11"/>
      <c r="C21" s="11"/>
      <c r="D21" s="11"/>
      <c r="E21" s="11"/>
      <c r="F21" s="12"/>
      <c r="K21" s="8"/>
      <c r="L21" s="8" t="s">
        <v>16</v>
      </c>
      <c r="M21" s="8">
        <v>10</v>
      </c>
      <c r="N21" s="9">
        <f t="shared" ref="N21" si="4">Q21+25</f>
        <v>25</v>
      </c>
      <c r="O21" s="15">
        <f t="shared" ref="O21" si="5">N21*K21</f>
        <v>0</v>
      </c>
      <c r="Q21" s="4">
        <f>Menudeo!O23</f>
        <v>0</v>
      </c>
      <c r="R21" s="21">
        <v>311</v>
      </c>
    </row>
    <row r="22" spans="2:18" s="1" customFormat="1" ht="25.15" customHeight="1" x14ac:dyDescent="0.25">
      <c r="B22" s="11"/>
      <c r="C22" s="11"/>
      <c r="D22" s="11"/>
      <c r="E22" s="11"/>
      <c r="F22" s="12"/>
      <c r="K22" s="17"/>
      <c r="L22" s="17"/>
      <c r="M22" s="18"/>
    </row>
    <row r="23" spans="2:18" s="1" customFormat="1" ht="25.15" customHeight="1" x14ac:dyDescent="0.25">
      <c r="B23" s="11"/>
      <c r="C23" s="11"/>
      <c r="D23" s="11"/>
      <c r="E23" s="11"/>
      <c r="F23" s="12"/>
      <c r="K23" s="17"/>
      <c r="L23" s="17"/>
      <c r="M23" s="18"/>
    </row>
    <row r="24" spans="2:18" s="1" customFormat="1" ht="25.15" customHeight="1" x14ac:dyDescent="0.25">
      <c r="B24" s="2"/>
      <c r="C24" s="2"/>
      <c r="D24" s="2"/>
      <c r="E24" s="2"/>
      <c r="F24" s="2"/>
    </row>
    <row r="25" spans="2:18" s="1" customFormat="1" ht="25.15" customHeight="1" x14ac:dyDescent="0.25">
      <c r="B25" s="2"/>
      <c r="C25" s="2"/>
      <c r="D25" s="2"/>
      <c r="E25" s="2"/>
      <c r="F25" s="2"/>
    </row>
    <row r="26" spans="2:18" s="1" customFormat="1" ht="25.15" customHeight="1" x14ac:dyDescent="0.25">
      <c r="B26" s="2"/>
      <c r="C26" s="2"/>
      <c r="D26" s="2"/>
      <c r="E26" s="2"/>
      <c r="F26" s="2"/>
    </row>
    <row r="27" spans="2:18" s="1" customFormat="1" ht="25.15" customHeight="1" x14ac:dyDescent="0.25">
      <c r="B27" s="2"/>
      <c r="C27" s="2"/>
      <c r="D27" s="2"/>
      <c r="E27" s="2"/>
      <c r="F27" s="2"/>
    </row>
    <row r="28" spans="2:18" s="1" customFormat="1" ht="25.15" customHeight="1" x14ac:dyDescent="0.25">
      <c r="B28" s="2"/>
      <c r="C28" s="2"/>
      <c r="D28" s="2"/>
      <c r="E28" s="2"/>
      <c r="F28" s="2"/>
    </row>
    <row r="29" spans="2:18" s="1" customFormat="1" ht="25.15" customHeight="1" x14ac:dyDescent="0.25">
      <c r="B29" s="2"/>
      <c r="C29" s="2"/>
      <c r="D29" s="2"/>
      <c r="E29" s="2"/>
      <c r="F29" s="2"/>
    </row>
    <row r="30" spans="2:18" s="1" customFormat="1" ht="25.15" customHeight="1" x14ac:dyDescent="0.25">
      <c r="B30" s="2"/>
      <c r="C30" s="2"/>
      <c r="D30" s="2"/>
      <c r="E30" s="2"/>
      <c r="F30" s="2"/>
    </row>
    <row r="31" spans="2:18" s="1" customFormat="1" ht="25.15" customHeight="1" x14ac:dyDescent="0.25">
      <c r="B31" s="2"/>
      <c r="C31" s="2"/>
      <c r="D31" s="2"/>
      <c r="E31" s="2"/>
      <c r="F31" s="2"/>
    </row>
    <row r="32" spans="2:18" s="1" customFormat="1" ht="25.15" customHeight="1" x14ac:dyDescent="0.25">
      <c r="B32" s="2"/>
      <c r="C32" s="2"/>
      <c r="D32" s="2"/>
      <c r="E32" s="2"/>
      <c r="F32" s="2"/>
    </row>
    <row r="33" spans="2:6" s="1" customFormat="1" ht="25.15" customHeight="1" x14ac:dyDescent="0.25">
      <c r="B33" s="2"/>
      <c r="C33" s="2"/>
      <c r="D33" s="2"/>
      <c r="E33" s="2"/>
      <c r="F33" s="2"/>
    </row>
  </sheetData>
  <mergeCells count="2">
    <mergeCell ref="D19:E19"/>
    <mergeCell ref="B1: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EE02-1252-44FB-9CC8-671ADDABD032}">
  <dimension ref="B1:M35"/>
  <sheetViews>
    <sheetView workbookViewId="0">
      <selection activeCell="B8" sqref="B8"/>
    </sheetView>
  </sheetViews>
  <sheetFormatPr baseColWidth="10" defaultRowHeight="15" x14ac:dyDescent="0.25"/>
  <cols>
    <col min="1" max="1" width="11.5703125" customWidth="1"/>
    <col min="2" max="2" width="9.42578125" customWidth="1"/>
    <col min="3" max="3" width="37.42578125" customWidth="1"/>
    <col min="4" max="4" width="7.5703125" customWidth="1"/>
    <col min="5" max="5" width="14.85546875" customWidth="1"/>
    <col min="6" max="6" width="15.7109375" customWidth="1"/>
  </cols>
  <sheetData>
    <row r="1" spans="2:8" s="1" customFormat="1" ht="34.15" customHeight="1" x14ac:dyDescent="0.25">
      <c r="B1" s="35" t="s">
        <v>0</v>
      </c>
      <c r="C1" s="36"/>
      <c r="D1" s="36"/>
      <c r="E1" s="36"/>
      <c r="F1" s="37"/>
    </row>
    <row r="2" spans="2:8" s="5" customFormat="1" ht="28.15" customHeight="1" x14ac:dyDescent="0.25">
      <c r="B2" s="13" t="s">
        <v>22</v>
      </c>
      <c r="C2" s="6" t="s">
        <v>19</v>
      </c>
      <c r="D2" s="6" t="s">
        <v>20</v>
      </c>
      <c r="E2" s="6" t="s">
        <v>21</v>
      </c>
      <c r="F2" s="6" t="s">
        <v>24</v>
      </c>
    </row>
    <row r="3" spans="2:8" s="1" customFormat="1" ht="25.15" customHeight="1" x14ac:dyDescent="0.25">
      <c r="B3" s="8">
        <v>30</v>
      </c>
      <c r="C3" s="8" t="s">
        <v>1</v>
      </c>
      <c r="D3" s="8">
        <v>18</v>
      </c>
      <c r="E3" s="9">
        <f>H3</f>
        <v>489.72</v>
      </c>
      <c r="F3" s="15">
        <f>E3*B3</f>
        <v>14691.6</v>
      </c>
      <c r="H3" s="4">
        <f>Menudeo!F3</f>
        <v>489.72</v>
      </c>
    </row>
    <row r="4" spans="2:8" s="1" customFormat="1" ht="25.15" customHeight="1" x14ac:dyDescent="0.25">
      <c r="B4" s="8">
        <v>30</v>
      </c>
      <c r="C4" s="8" t="s">
        <v>2</v>
      </c>
      <c r="D4" s="8">
        <v>25</v>
      </c>
      <c r="E4" s="9">
        <f t="shared" ref="E4:E20" si="0">H4</f>
        <v>731.12</v>
      </c>
      <c r="F4" s="15">
        <f t="shared" ref="F4:F20" si="1">E4*B4</f>
        <v>21933.599999999999</v>
      </c>
      <c r="H4" s="4">
        <f>Menudeo!F4</f>
        <v>731.12</v>
      </c>
    </row>
    <row r="5" spans="2:8" s="1" customFormat="1" ht="25.15" customHeight="1" x14ac:dyDescent="0.25">
      <c r="B5" s="8">
        <v>6</v>
      </c>
      <c r="C5" s="8" t="s">
        <v>3</v>
      </c>
      <c r="D5" s="8">
        <v>22</v>
      </c>
      <c r="E5" s="9">
        <f t="shared" si="0"/>
        <v>499.2</v>
      </c>
      <c r="F5" s="15">
        <f t="shared" si="1"/>
        <v>2995.2</v>
      </c>
      <c r="H5" s="4">
        <f>Menudeo!F5</f>
        <v>499.2</v>
      </c>
    </row>
    <row r="6" spans="2:8" s="1" customFormat="1" ht="25.15" customHeight="1" x14ac:dyDescent="0.25">
      <c r="B6" s="8">
        <v>6</v>
      </c>
      <c r="C6" s="8" t="s">
        <v>4</v>
      </c>
      <c r="D6" s="8">
        <v>25</v>
      </c>
      <c r="E6" s="9">
        <f t="shared" si="0"/>
        <v>520</v>
      </c>
      <c r="F6" s="15">
        <f t="shared" si="1"/>
        <v>3120</v>
      </c>
      <c r="H6" s="4">
        <f>Menudeo!F6</f>
        <v>520</v>
      </c>
    </row>
    <row r="7" spans="2:8" s="1" customFormat="1" ht="25.15" customHeight="1" x14ac:dyDescent="0.25">
      <c r="B7" s="8">
        <v>20</v>
      </c>
      <c r="C7" s="8" t="s">
        <v>5</v>
      </c>
      <c r="D7" s="8">
        <v>25</v>
      </c>
      <c r="E7" s="9">
        <f t="shared" si="0"/>
        <v>442</v>
      </c>
      <c r="F7" s="15">
        <f t="shared" si="1"/>
        <v>8840</v>
      </c>
      <c r="H7" s="4">
        <f>Menudeo!F7</f>
        <v>442</v>
      </c>
    </row>
    <row r="8" spans="2:8" s="1" customFormat="1" ht="25.15" customHeight="1" x14ac:dyDescent="0.25">
      <c r="B8" s="8">
        <v>15</v>
      </c>
      <c r="C8" s="8" t="s">
        <v>6</v>
      </c>
      <c r="D8" s="8">
        <v>25</v>
      </c>
      <c r="E8" s="9">
        <f t="shared" si="0"/>
        <v>395.2</v>
      </c>
      <c r="F8" s="15">
        <f t="shared" si="1"/>
        <v>5928</v>
      </c>
      <c r="H8" s="4">
        <f>Menudeo!F8</f>
        <v>395.2</v>
      </c>
    </row>
    <row r="9" spans="2:8" s="1" customFormat="1" ht="25.15" customHeight="1" x14ac:dyDescent="0.25">
      <c r="B9" s="8"/>
      <c r="C9" s="8" t="s">
        <v>7</v>
      </c>
      <c r="D9" s="8">
        <v>25</v>
      </c>
      <c r="E9" s="9">
        <f t="shared" si="0"/>
        <v>396.24</v>
      </c>
      <c r="F9" s="15">
        <f t="shared" si="1"/>
        <v>0</v>
      </c>
      <c r="H9" s="4">
        <f>Menudeo!F9</f>
        <v>396.24</v>
      </c>
    </row>
    <row r="10" spans="2:8" s="1" customFormat="1" ht="25.15" customHeight="1" x14ac:dyDescent="0.25">
      <c r="B10" s="8"/>
      <c r="C10" s="8" t="s">
        <v>8</v>
      </c>
      <c r="D10" s="8">
        <v>20</v>
      </c>
      <c r="E10" s="9">
        <f t="shared" si="0"/>
        <v>320.32</v>
      </c>
      <c r="F10" s="15">
        <f t="shared" si="1"/>
        <v>0</v>
      </c>
      <c r="H10" s="4">
        <f>Menudeo!F10</f>
        <v>320.32</v>
      </c>
    </row>
    <row r="11" spans="2:8" s="1" customFormat="1" ht="25.15" customHeight="1" x14ac:dyDescent="0.25">
      <c r="B11" s="8"/>
      <c r="C11" s="8" t="s">
        <v>9</v>
      </c>
      <c r="D11" s="8">
        <v>25</v>
      </c>
      <c r="E11" s="9">
        <f t="shared" si="0"/>
        <v>366.08</v>
      </c>
      <c r="F11" s="15">
        <f t="shared" si="1"/>
        <v>0</v>
      </c>
      <c r="H11" s="4">
        <f>Menudeo!F11</f>
        <v>366.08</v>
      </c>
    </row>
    <row r="12" spans="2:8" s="1" customFormat="1" ht="25.15" customHeight="1" x14ac:dyDescent="0.25">
      <c r="B12" s="8"/>
      <c r="C12" s="8" t="s">
        <v>10</v>
      </c>
      <c r="D12" s="8">
        <v>20</v>
      </c>
      <c r="E12" s="9">
        <f t="shared" si="0"/>
        <v>239.2</v>
      </c>
      <c r="F12" s="15">
        <f t="shared" si="1"/>
        <v>0</v>
      </c>
      <c r="H12" s="4">
        <f>Menudeo!F12</f>
        <v>239.2</v>
      </c>
    </row>
    <row r="13" spans="2:8" s="1" customFormat="1" ht="25.15" customHeight="1" x14ac:dyDescent="0.25">
      <c r="B13" s="8"/>
      <c r="C13" s="8" t="s">
        <v>11</v>
      </c>
      <c r="D13" s="8">
        <v>25</v>
      </c>
      <c r="E13" s="9">
        <f t="shared" si="0"/>
        <v>299.52</v>
      </c>
      <c r="F13" s="15">
        <f t="shared" si="1"/>
        <v>0</v>
      </c>
      <c r="H13" s="4">
        <f>Menudeo!F13</f>
        <v>299.52</v>
      </c>
    </row>
    <row r="14" spans="2:8" s="1" customFormat="1" ht="25.15" customHeight="1" x14ac:dyDescent="0.25">
      <c r="B14" s="8">
        <v>35</v>
      </c>
      <c r="C14" s="8" t="s">
        <v>12</v>
      </c>
      <c r="D14" s="8">
        <v>10</v>
      </c>
      <c r="E14" s="9">
        <f t="shared" si="0"/>
        <v>338</v>
      </c>
      <c r="F14" s="15">
        <f t="shared" si="1"/>
        <v>11830</v>
      </c>
      <c r="H14" s="4">
        <f>Menudeo!F14</f>
        <v>338</v>
      </c>
    </row>
    <row r="15" spans="2:8" s="1" customFormat="1" ht="25.15" customHeight="1" x14ac:dyDescent="0.25">
      <c r="B15" s="8">
        <v>10</v>
      </c>
      <c r="C15" s="8" t="s">
        <v>13</v>
      </c>
      <c r="D15" s="8">
        <v>15</v>
      </c>
      <c r="E15" s="9">
        <f t="shared" si="0"/>
        <v>303.68</v>
      </c>
      <c r="F15" s="15">
        <f t="shared" si="1"/>
        <v>3036.8</v>
      </c>
      <c r="H15" s="4">
        <f>Menudeo!F15</f>
        <v>303.68</v>
      </c>
    </row>
    <row r="16" spans="2:8" s="1" customFormat="1" ht="25.15" customHeight="1" x14ac:dyDescent="0.25">
      <c r="B16" s="8"/>
      <c r="C16" s="8" t="s">
        <v>14</v>
      </c>
      <c r="D16" s="8">
        <v>10</v>
      </c>
      <c r="E16" s="9">
        <f t="shared" si="0"/>
        <v>323.44</v>
      </c>
      <c r="F16" s="15">
        <f t="shared" si="1"/>
        <v>0</v>
      </c>
      <c r="H16" s="4">
        <f>Menudeo!F16</f>
        <v>323.44</v>
      </c>
    </row>
    <row r="17" spans="2:13" s="1" customFormat="1" ht="25.15" customHeight="1" x14ac:dyDescent="0.25">
      <c r="B17" s="8">
        <v>5</v>
      </c>
      <c r="C17" s="8" t="s">
        <v>15</v>
      </c>
      <c r="D17" s="8">
        <v>4</v>
      </c>
      <c r="E17" s="9">
        <f t="shared" si="0"/>
        <v>169.52</v>
      </c>
      <c r="F17" s="15">
        <f t="shared" si="1"/>
        <v>847.6</v>
      </c>
      <c r="H17" s="4">
        <f>Menudeo!F17</f>
        <v>169.52</v>
      </c>
    </row>
    <row r="18" spans="2:13" s="1" customFormat="1" ht="25.15" customHeight="1" x14ac:dyDescent="0.25">
      <c r="B18" s="8"/>
      <c r="C18" s="8" t="s">
        <v>16</v>
      </c>
      <c r="D18" s="8">
        <v>10</v>
      </c>
      <c r="E18" s="9">
        <f t="shared" si="0"/>
        <v>323.44</v>
      </c>
      <c r="F18" s="15">
        <f t="shared" si="1"/>
        <v>0</v>
      </c>
      <c r="H18" s="4">
        <f>Menudeo!F18</f>
        <v>323.44</v>
      </c>
    </row>
    <row r="19" spans="2:13" s="1" customFormat="1" ht="25.15" customHeight="1" x14ac:dyDescent="0.25">
      <c r="B19" s="8">
        <v>5</v>
      </c>
      <c r="C19" s="8" t="s">
        <v>17</v>
      </c>
      <c r="D19" s="8">
        <v>4</v>
      </c>
      <c r="E19" s="9">
        <f t="shared" si="0"/>
        <v>178.88</v>
      </c>
      <c r="F19" s="15">
        <f t="shared" si="1"/>
        <v>894.4</v>
      </c>
      <c r="H19" s="4">
        <f>Menudeo!F19</f>
        <v>178.88</v>
      </c>
    </row>
    <row r="20" spans="2:13" s="1" customFormat="1" ht="25.15" customHeight="1" x14ac:dyDescent="0.25">
      <c r="B20" s="8">
        <v>5</v>
      </c>
      <c r="C20" s="8" t="s">
        <v>18</v>
      </c>
      <c r="D20" s="8">
        <v>4</v>
      </c>
      <c r="E20" s="9">
        <f t="shared" si="0"/>
        <v>214.24</v>
      </c>
      <c r="F20" s="15">
        <f t="shared" si="1"/>
        <v>1071.2</v>
      </c>
      <c r="H20" s="4">
        <f>Menudeo!F20</f>
        <v>214.24</v>
      </c>
    </row>
    <row r="21" spans="2:13" s="1" customFormat="1" ht="25.15" customHeight="1" x14ac:dyDescent="0.25">
      <c r="B21" s="11"/>
      <c r="C21" s="11"/>
      <c r="D21" s="34" t="s">
        <v>23</v>
      </c>
      <c r="E21" s="34"/>
      <c r="F21" s="9">
        <f>SUM(F3:F15)</f>
        <v>72375.199999999997</v>
      </c>
      <c r="K21" s="3" t="s">
        <v>14</v>
      </c>
      <c r="L21" s="3">
        <v>10</v>
      </c>
      <c r="M21" s="7">
        <f>O21+50</f>
        <v>50</v>
      </c>
    </row>
    <row r="22" spans="2:13" s="1" customFormat="1" ht="25.15" customHeight="1" x14ac:dyDescent="0.25">
      <c r="B22" s="11"/>
      <c r="C22" s="11"/>
      <c r="D22" s="34" t="s">
        <v>25</v>
      </c>
      <c r="E22" s="34"/>
      <c r="F22" s="16">
        <f>SUMPRODUCT(B3:B20, D3:D20)</f>
        <v>3007</v>
      </c>
      <c r="K22" s="3" t="s">
        <v>15</v>
      </c>
      <c r="L22" s="3">
        <v>4</v>
      </c>
      <c r="M22" s="7">
        <f>O22+50</f>
        <v>50</v>
      </c>
    </row>
    <row r="23" spans="2:13" s="1" customFormat="1" ht="25.15" customHeight="1" x14ac:dyDescent="0.25">
      <c r="B23" s="11"/>
      <c r="C23" s="11"/>
      <c r="D23" s="11"/>
      <c r="E23" s="11"/>
      <c r="F23" s="12"/>
      <c r="K23" s="3" t="s">
        <v>16</v>
      </c>
      <c r="L23" s="3">
        <v>10</v>
      </c>
      <c r="M23" s="7">
        <f>O23+50</f>
        <v>50</v>
      </c>
    </row>
    <row r="24" spans="2:13" s="1" customFormat="1" ht="25.15" customHeight="1" x14ac:dyDescent="0.25">
      <c r="B24" s="11"/>
      <c r="C24" s="11"/>
      <c r="D24" s="11"/>
      <c r="E24" s="11"/>
      <c r="F24" s="12"/>
      <c r="K24" s="3" t="s">
        <v>17</v>
      </c>
      <c r="L24" s="3">
        <v>4</v>
      </c>
      <c r="M24" s="7">
        <f>O24+50</f>
        <v>50</v>
      </c>
    </row>
    <row r="25" spans="2:13" s="1" customFormat="1" ht="25.15" customHeight="1" x14ac:dyDescent="0.25">
      <c r="B25" s="11"/>
      <c r="C25" s="11"/>
      <c r="D25" s="11"/>
      <c r="E25" s="11"/>
      <c r="F25" s="12"/>
      <c r="K25" s="3" t="s">
        <v>18</v>
      </c>
      <c r="L25" s="3">
        <v>4</v>
      </c>
      <c r="M25" s="7">
        <f>O25+50</f>
        <v>50</v>
      </c>
    </row>
    <row r="26" spans="2:13" s="1" customFormat="1" ht="25.15" customHeight="1" x14ac:dyDescent="0.25">
      <c r="B26" s="2"/>
      <c r="C26" s="2"/>
      <c r="D26" s="2"/>
      <c r="E26" s="2"/>
      <c r="F26" s="2"/>
    </row>
    <row r="27" spans="2:13" s="1" customFormat="1" ht="25.15" customHeight="1" x14ac:dyDescent="0.25">
      <c r="B27" s="2"/>
      <c r="C27" s="2"/>
      <c r="D27" s="2"/>
      <c r="E27" s="2"/>
      <c r="F27" s="2"/>
    </row>
    <row r="28" spans="2:13" s="1" customFormat="1" ht="25.15" customHeight="1" x14ac:dyDescent="0.25">
      <c r="B28" s="2"/>
      <c r="C28" s="2"/>
      <c r="D28" s="2"/>
      <c r="E28" s="2"/>
      <c r="F28" s="2"/>
    </row>
    <row r="29" spans="2:13" s="1" customFormat="1" ht="25.15" customHeight="1" x14ac:dyDescent="0.25">
      <c r="B29" s="2"/>
      <c r="C29" s="2"/>
      <c r="D29" s="2"/>
      <c r="E29" s="2"/>
      <c r="F29" s="2"/>
    </row>
    <row r="30" spans="2:13" s="1" customFormat="1" ht="25.15" customHeight="1" x14ac:dyDescent="0.25">
      <c r="B30" s="2"/>
      <c r="C30" s="2"/>
      <c r="D30" s="2"/>
      <c r="E30" s="2"/>
      <c r="F30" s="2"/>
    </row>
    <row r="31" spans="2:13" s="1" customFormat="1" ht="25.15" customHeight="1" x14ac:dyDescent="0.25">
      <c r="B31" s="2"/>
      <c r="C31" s="2"/>
      <c r="D31" s="2"/>
      <c r="E31" s="2"/>
      <c r="F31" s="2"/>
    </row>
    <row r="32" spans="2:13" s="1" customFormat="1" ht="25.15" customHeight="1" x14ac:dyDescent="0.25">
      <c r="B32" s="2"/>
      <c r="C32" s="2"/>
      <c r="D32" s="2"/>
      <c r="E32" s="2"/>
      <c r="F32" s="2"/>
    </row>
    <row r="33" spans="2:6" s="1" customFormat="1" ht="25.15" customHeight="1" x14ac:dyDescent="0.25">
      <c r="B33" s="2"/>
      <c r="C33" s="2"/>
      <c r="D33" s="2"/>
      <c r="E33" s="2"/>
      <c r="F33" s="2"/>
    </row>
    <row r="34" spans="2:6" s="1" customFormat="1" ht="25.15" customHeight="1" x14ac:dyDescent="0.25">
      <c r="B34" s="2"/>
      <c r="C34" s="2"/>
      <c r="D34" s="2"/>
      <c r="E34" s="2"/>
      <c r="F34" s="2"/>
    </row>
    <row r="35" spans="2:6" s="1" customFormat="1" ht="25.15" customHeight="1" x14ac:dyDescent="0.25">
      <c r="B35" s="2"/>
      <c r="C35" s="2"/>
      <c r="D35" s="2"/>
      <c r="E35" s="2"/>
      <c r="F35" s="2"/>
    </row>
  </sheetData>
  <mergeCells count="3">
    <mergeCell ref="B1:F1"/>
    <mergeCell ref="D21:E21"/>
    <mergeCell ref="D22:E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Menudeo</vt:lpstr>
      <vt:lpstr>Mayoreo</vt:lpstr>
      <vt:lpstr>Pedidos</vt:lpstr>
      <vt:lpstr>Empresa</vt:lpstr>
      <vt:lpstr>Empresa!Área_de_impresión</vt:lpstr>
      <vt:lpstr>Mayoreo!Área_de_impresión</vt:lpstr>
      <vt:lpstr>Menudeo!Área_de_impresión</vt:lpstr>
      <vt:lpstr>Pedidos!Área_de_impresión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Baruc Polvo Cuatianquiz</dc:creator>
  <cp:lastModifiedBy>Jesus Baruc Polvo Cuatianquiz</cp:lastModifiedBy>
  <cp:lastPrinted>2026-05-10T23:36:32Z</cp:lastPrinted>
  <dcterms:created xsi:type="dcterms:W3CDTF">2026-01-10T23:54:21Z</dcterms:created>
  <dcterms:modified xsi:type="dcterms:W3CDTF">2026-05-18T06:05:51Z</dcterms:modified>
</cp:coreProperties>
</file>